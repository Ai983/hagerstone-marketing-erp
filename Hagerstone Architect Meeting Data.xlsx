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Tracker (24 Dec)" sheetId="1" state="visible" r:id="rId3"/>
    <sheet name="Meetings Log (23 Dec)" sheetId="2" state="visible" r:id="rId4"/>
    <sheet name="15-Day Report (08 Dec)" sheetId="3" state="visible" r:id="rId5"/>
    <sheet name="Weekly Summary (13 Dec)" sheetId="4" state="visible" r:id="rId6"/>
    <sheet name="Priority Actions" sheetId="5" state="visible" r:id="rId7"/>
    <sheet name="Summary Counts" sheetId="6" state="visible" r:id="rId8"/>
    <sheet name="Data Notes &amp; Flags" sheetId="7" state="visible" r:id="rId9"/>
  </sheets>
  <definedNames>
    <definedName function="false" hidden="true" localSheetId="0" name="_xlnm._FilterDatabase" vbProcedure="false">'Master Tracker (24 Dec)'!$A$1:$G$36</definedName>
    <definedName function="false" hidden="true" localSheetId="1" name="_xlnm._FilterDatabase" vbProcedure="false">'Meetings Log (23 Dec)'!$A$1:$H$21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<sst xmlns="http://schemas.openxmlformats.org/spreadsheetml/2006/main" count="617" uniqueCount="408">
  <si>
    <t xml:space="preserve">Region</t>
  </si>
  <si>
    <t xml:space="preserve">Client Name</t>
  </si>
  <si>
    <t xml:space="preserve">Phone No.</t>
  </si>
  <si>
    <t xml:space="preserve">Location</t>
  </si>
  <si>
    <t xml:space="preserve">Priority</t>
  </si>
  <si>
    <t xml:space="preserve">Key Remarks / Status</t>
  </si>
  <si>
    <t xml:space="preserve">POC</t>
  </si>
  <si>
    <t xml:space="preserve">Delhi &amp; NCR - Architects / Designers</t>
  </si>
  <si>
    <t xml:space="preserve">A&amp;A</t>
  </si>
  <si>
    <t xml:space="preserve">09910332663</t>
  </si>
  <si>
    <t xml:space="preserve">Greater Kailash I, Delhi</t>
  </si>
  <si>
    <t xml:space="preserve">Priority 3</t>
  </si>
  <si>
    <t xml:space="preserve">Access denied initially. Client requested profile; will revert if future requirements arise.</t>
  </si>
  <si>
    <t xml:space="preserve">Manan Ahuja</t>
  </si>
  <si>
    <t xml:space="preserve">Lumascapes: An Architect's Studio</t>
  </si>
  <si>
    <t xml:space="preserve">08826075235</t>
  </si>
  <si>
    <t xml:space="preserve">Greater Kailash II, Delhi</t>
  </si>
  <si>
    <t xml:space="preserve">Priority 4</t>
  </si>
  <si>
    <t xml:space="preserve">Capability discussed. Profile shared. Will approach only if issues with current vendors.</t>
  </si>
  <si>
    <t xml:space="preserve">Sonalika</t>
  </si>
  <si>
    <t xml:space="preserve">Architects Design Studio</t>
  </si>
  <si>
    <t xml:space="preserve">09999256699</t>
  </si>
  <si>
    <t xml:space="preserve">Healthcare-focused firm. Profile shared. Owner prefers pre-scheduled meetings. Follow-up required.</t>
  </si>
  <si>
    <t xml:space="preserve">Chiraj Bhatia</t>
  </si>
  <si>
    <t xml:space="preserve">Architect Harish Tripathi &amp; Associates</t>
  </si>
  <si>
    <t xml:space="preserve">09910656664</t>
  </si>
  <si>
    <t xml:space="preserve">Okhla, Delhi</t>
  </si>
  <si>
    <t xml:space="preserve">Priority 1</t>
  </si>
  <si>
    <t xml:space="preserve">Team discussion done. Principal Architect unavailable; expected by Thursday. Appointment to be confirmed.</t>
  </si>
  <si>
    <t xml:space="preserve">Jyoti D Tripathi</t>
  </si>
  <si>
    <t xml:space="preserve">The Interior Company</t>
  </si>
  <si>
    <t xml:space="preserve">—</t>
  </si>
  <si>
    <t xml:space="preserve">Rajendra Nagar, Delhi</t>
  </si>
  <si>
    <t xml:space="preserve">Client Dropped</t>
  </si>
  <si>
    <t xml:space="preserve">Primarily residential; limited scope for collaboration.</t>
  </si>
  <si>
    <t xml:space="preserve">AJ Atelier Architects</t>
  </si>
  <si>
    <t xml:space="preserve">07860828689</t>
  </si>
  <si>
    <t xml:space="preserve">Lajpat Nagar, Delhi</t>
  </si>
  <si>
    <t xml:space="preserve">Meeting pending; no detailed discussion yet.</t>
  </si>
  <si>
    <t xml:space="preserve">Akash Gupta</t>
  </si>
  <si>
    <t xml:space="preserve">BH Constructions</t>
  </si>
  <si>
    <t xml:space="preserve">9560037788</t>
  </si>
  <si>
    <t xml:space="preserve">Model Town, Delhi</t>
  </si>
  <si>
    <t xml:space="preserve">Largely residential projects; low relevance.</t>
  </si>
  <si>
    <t xml:space="preserve">Harsh Diwan</t>
  </si>
  <si>
    <t xml:space="preserve">Noida / Greater Noida / Ghaziabad</t>
  </si>
  <si>
    <t xml:space="preserve">City Cube Architects</t>
  </si>
  <si>
    <t xml:space="preserve">09871773477</t>
  </si>
  <si>
    <t xml:space="preserve">Sector 44, Noida</t>
  </si>
  <si>
    <t xml:space="preserve">Principal Architect out of town until Jan 9. Follow-up post-return.</t>
  </si>
  <si>
    <t xml:space="preserve">Sandeep</t>
  </si>
  <si>
    <t xml:space="preserve">NEOMEN - Architects &amp; Interior Designers</t>
  </si>
  <si>
    <t xml:space="preserve">09220110411</t>
  </si>
  <si>
    <t xml:space="preserve">Sector 63, Noida</t>
  </si>
  <si>
    <t xml:space="preserve">Priority 2</t>
  </si>
  <si>
    <t xml:space="preserve">Entry denied without appointment. Client unavailable. Needs formal appointment.</t>
  </si>
  <si>
    <t xml:space="preserve">Kiren</t>
  </si>
  <si>
    <t xml:space="preserve">Gulati Architects</t>
  </si>
  <si>
    <t xml:space="preserve">09873922072</t>
  </si>
  <si>
    <t xml:space="preserve">Sector 62, Noida</t>
  </si>
  <si>
    <t xml:space="preserve">Team discussion done. Principal Architect unavailable. Meeting fixed for Wednesday.</t>
  </si>
  <si>
    <t xml:space="preserve">Goving Gulati</t>
  </si>
  <si>
    <t xml:space="preserve">Greystone Infra</t>
  </si>
  <si>
    <t xml:space="preserve">09717710338</t>
  </si>
  <si>
    <t xml:space="preserve">Sector 2, Noida</t>
  </si>
  <si>
    <t xml:space="preserve">Office not found at given address; phone unreachable.</t>
  </si>
  <si>
    <t xml:space="preserve">Mridu Tikku</t>
  </si>
  <si>
    <t xml:space="preserve">True Infra Solutions</t>
  </si>
  <si>
    <t xml:space="preserve">08802675731</t>
  </si>
  <si>
    <t xml:space="preserve">Sector 16, Noida</t>
  </si>
  <si>
    <t xml:space="preserve">Past negative experience with competitor; open to working with us.</t>
  </si>
  <si>
    <t xml:space="preserve">Manish Kumar</t>
  </si>
  <si>
    <t xml:space="preserve">Tripathi &amp; Associates Pvt. Ltd.</t>
  </si>
  <si>
    <t xml:space="preserve">09350184847</t>
  </si>
  <si>
    <t xml:space="preserve">Sector 50, Noida</t>
  </si>
  <si>
    <t xml:space="preserve">High-value contact. BOQ expected in January. Connected on LinkedIn.</t>
  </si>
  <si>
    <t xml:space="preserve">Inder Shekhar Tripathi</t>
  </si>
  <si>
    <t xml:space="preserve">Dahell Designs</t>
  </si>
  <si>
    <t xml:space="preserve">09811413618</t>
  </si>
  <si>
    <t xml:space="preserve">Sector 3, Noida</t>
  </si>
  <si>
    <t xml:space="preserve">Mainly residential; occasional office interiors only.</t>
  </si>
  <si>
    <t xml:space="preserve">Rehan Mehra</t>
  </si>
  <si>
    <t xml:space="preserve">Studio Svelte</t>
  </si>
  <si>
    <t xml:space="preserve">09811224729</t>
  </si>
  <si>
    <t xml:space="preserve">Wants meeting with Dhruv Sir. Dates suggested; confirmation pending.</t>
  </si>
  <si>
    <t xml:space="preserve">Nagesh Singh</t>
  </si>
  <si>
    <t xml:space="preserve">EK CHHAT ASSOCIATES (ECA)</t>
  </si>
  <si>
    <t xml:space="preserve">09818361702</t>
  </si>
  <si>
    <t xml:space="preserve">No clear opportunity yet.</t>
  </si>
  <si>
    <t xml:space="preserve">Vikesh Sinha</t>
  </si>
  <si>
    <t xml:space="preserve">Niche Architects</t>
  </si>
  <si>
    <t xml:space="preserve">09999639431</t>
  </si>
  <si>
    <t xml:space="preserve">Strong pipeline. Initial residential discussion done; exploring commercial opportunities.</t>
  </si>
  <si>
    <t xml:space="preserve">Harish</t>
  </si>
  <si>
    <t xml:space="preserve">PANDE &amp; ASSOCIATES</t>
  </si>
  <si>
    <t xml:space="preserve">09560968942</t>
  </si>
  <si>
    <t xml:space="preserve">Diverse project types. Needs multiple follow-ups to convert.</t>
  </si>
  <si>
    <t xml:space="preserve">Ar. Nitin Pande</t>
  </si>
  <si>
    <t xml:space="preserve">VA-MAP Architects</t>
  </si>
  <si>
    <t xml:space="preserve">09310972035</t>
  </si>
  <si>
    <t xml:space="preserve">Ghaziabad</t>
  </si>
  <si>
    <t xml:space="preserve">Meeting done; has strong in-house team. Limited scope.</t>
  </si>
  <si>
    <t xml:space="preserve">Ar. Ajay Thakur</t>
  </si>
  <si>
    <t xml:space="preserve">MESKOT Architecture &amp; Services</t>
  </si>
  <si>
    <t xml:space="preserve">09654466617</t>
  </si>
  <si>
    <t xml:space="preserve">Has own execution team; may reach out if commercial needs arise.</t>
  </si>
  <si>
    <t xml:space="preserve">Ar. Sonu Idrishi</t>
  </si>
  <si>
    <t xml:space="preserve">Nav Nirman Architects</t>
  </si>
  <si>
    <t xml:space="preserve">09826620980</t>
  </si>
  <si>
    <t xml:space="preserve">Mostly residential; limited scale relevance.</t>
  </si>
  <si>
    <t xml:space="preserve">Santosh Giri / Manish Giri</t>
  </si>
  <si>
    <t xml:space="preserve">Saakar Creations Pvt. Ltd.</t>
  </si>
  <si>
    <t xml:space="preserve">09810052368</t>
  </si>
  <si>
    <t xml:space="preserve">Sector 132, Noida</t>
  </si>
  <si>
    <t xml:space="preserve">Industrial &amp; commercial projects (15-60 cr). Needs follow-up meeting.</t>
  </si>
  <si>
    <t xml:space="preserve">Sandeep Gupta</t>
  </si>
  <si>
    <t xml:space="preserve">PAI Design Studio</t>
  </si>
  <si>
    <t xml:space="preserve">09718122864</t>
  </si>
  <si>
    <t xml:space="preserve">No immediate opportunity identified.</t>
  </si>
  <si>
    <t xml:space="preserve">Abhay Tiwari</t>
  </si>
  <si>
    <t xml:space="preserve">Quintessence Landscape + Architecture</t>
  </si>
  <si>
    <t xml:space="preserve">09810269123</t>
  </si>
  <si>
    <t xml:space="preserve">Sector 27, Noida</t>
  </si>
  <si>
    <t xml:space="preserve">Strong fit. One more meeting needed to solidify collaboration.</t>
  </si>
  <si>
    <t xml:space="preserve">Rajesh Shukla</t>
  </si>
  <si>
    <t xml:space="preserve">ARCHTALISMAN</t>
  </si>
  <si>
    <t xml:space="preserve">07838232345</t>
  </si>
  <si>
    <t xml:space="preserve">Sector 99, Noida</t>
  </si>
  <si>
    <t xml:space="preserve">High potential; follow-up required.</t>
  </si>
  <si>
    <t xml:space="preserve">Amit</t>
  </si>
  <si>
    <t xml:space="preserve">Gurugram / Haryana</t>
  </si>
  <si>
    <t xml:space="preserve">Hero Realty</t>
  </si>
  <si>
    <t xml:space="preserve">Gurugram</t>
  </si>
  <si>
    <t xml:space="preserve">No interaction details captured; needs engagement.</t>
  </si>
  <si>
    <t xml:space="preserve">ESSENTIA ENVIRONMENT</t>
  </si>
  <si>
    <t xml:space="preserve">9810088877</t>
  </si>
  <si>
    <t xml:space="preserve">Sector 34, Gurugram</t>
  </si>
  <si>
    <t xml:space="preserve">Mr. Hardesh unavailable. Reconnect after 27th.</t>
  </si>
  <si>
    <t xml:space="preserve">Hardesh Chawla</t>
  </si>
  <si>
    <t xml:space="preserve">MSAP Architects &amp; Interior Designers</t>
  </si>
  <si>
    <t xml:space="preserve">09999873209</t>
  </si>
  <si>
    <t xml:space="preserve">Sushant Lok, Gurugram</t>
  </si>
  <si>
    <t xml:space="preserve">Profile reviewed. Asked to reconnect after 28th for meeting with Principal Architect.</t>
  </si>
  <si>
    <t xml:space="preserve">Ar. Prashant Sharma</t>
  </si>
  <si>
    <t xml:space="preserve">Mark &amp; Spencer</t>
  </si>
  <si>
    <t xml:space="preserve">No actionable input captured.</t>
  </si>
  <si>
    <t xml:space="preserve">Sky Architects</t>
  </si>
  <si>
    <t xml:space="preserve">09416087860</t>
  </si>
  <si>
    <t xml:space="preserve">Sector 46, Gurugram</t>
  </si>
  <si>
    <t xml:space="preserve">Mainly residential. Will share commercial leads if any.</t>
  </si>
  <si>
    <t xml:space="preserve">Kanishk</t>
  </si>
  <si>
    <t xml:space="preserve">Arkin Designs</t>
  </si>
  <si>
    <t xml:space="preserve">09818522772</t>
  </si>
  <si>
    <t xml:space="preserve">South City I, Gurugram</t>
  </si>
  <si>
    <t xml:space="preserve">Will share projects outside Delhi NCR only.</t>
  </si>
  <si>
    <t xml:space="preserve">Nitin Sharma</t>
  </si>
  <si>
    <t xml:space="preserve">designICON</t>
  </si>
  <si>
    <t xml:space="preserve">08744007600</t>
  </si>
  <si>
    <t xml:space="preserve">Sector 52, Gurugram</t>
  </si>
  <si>
    <t xml:space="preserve">Senior architect; does turnkey. Low conversion probability.</t>
  </si>
  <si>
    <t xml:space="preserve">Sonali</t>
  </si>
  <si>
    <t xml:space="preserve">Anma Architects</t>
  </si>
  <si>
    <t xml:space="preserve">9818637367</t>
  </si>
  <si>
    <t xml:space="preserve">Needs execution partner. One residential project under discussion; commercial prospects possible.</t>
  </si>
  <si>
    <t xml:space="preserve">Mini S. Vasudeva</t>
  </si>
  <si>
    <t xml:space="preserve">Others / Corporate</t>
  </si>
  <si>
    <t xml:space="preserve">YKK India Pvt. Ltd.</t>
  </si>
  <si>
    <t xml:space="preserve">8588038438</t>
  </si>
  <si>
    <t xml:space="preserve">Bawal</t>
  </si>
  <si>
    <t xml:space="preserve">Not specified</t>
  </si>
  <si>
    <t xml:space="preserve">No interaction details available.</t>
  </si>
  <si>
    <t xml:space="preserve">M3M</t>
  </si>
  <si>
    <t xml:space="preserve">Sector 71, Gurugram</t>
  </si>
  <si>
    <t xml:space="preserve">Source: 'Re: Meeting Report : Last 15 Days', Delhi/NCR Hagerstone International, 24 Dec 2025, 5:39 PM. Transcribed verbatim; '—' means the source left the field blank. The email's covering line claims 43 meetings in 28 days, but this tracker lists 35 client rows - see 'Data Notes &amp; Flags'.</t>
  </si>
  <si>
    <t xml:space="preserve">Address</t>
  </si>
  <si>
    <t xml:space="preserve">Remark</t>
  </si>
  <si>
    <t xml:space="preserve">Date</t>
  </si>
  <si>
    <t xml:space="preserve">Consultant</t>
  </si>
  <si>
    <t xml:space="preserve">099103 32663</t>
  </si>
  <si>
    <t xml:space="preserve">7, Greater Kailash Rd, Greater Kailash Enclave I, Greater Kailash, New Delhi, Delhi 110048</t>
  </si>
  <si>
    <t xml:space="preserve">(Mr Anup): Access denied to society as the client was not taking my call. Client asked to share the profile and then he will let us know if there is any upcoming requirements</t>
  </si>
  <si>
    <t xml:space="preserve">manan ahuja</t>
  </si>
  <si>
    <t xml:space="preserve">22 Dec</t>
  </si>
  <si>
    <t xml:space="preserve">Saurabh</t>
  </si>
  <si>
    <t xml:space="preserve">088260 75235</t>
  </si>
  <si>
    <t xml:space="preserve">2nd Floor, S 307, Inder Mohan Bhardwaj Marg, Block S, Greater Kailash II, New Delhi, Delhi 110048</t>
  </si>
  <si>
    <t xml:space="preserve">Had a quick discussion about our capability. Shared our profile and card. She will share projects only if anything falters with her existing vendors.</t>
  </si>
  <si>
    <t xml:space="preserve">sonalika</t>
  </si>
  <si>
    <t xml:space="preserve">099992 56699</t>
  </si>
  <si>
    <t xml:space="preserve">B-261 A, Greater Kailash I, New Delhi, Delhi 110048</t>
  </si>
  <si>
    <t xml:space="preserve">Had a discussion with the team. They are majorly into healthcare related architecture. Shared our profile but owner was not ready to meet prior appointment. Need to further touchbase with the client to finalise the meeting.</t>
  </si>
  <si>
    <t xml:space="preserve">099106 56664</t>
  </si>
  <si>
    <t xml:space="preserve">224, Basement, Sukhdev Vihar Rd, near Escorts Heart Institute, Sukhdev Vihar, Okhla, New Delhi, Delhi 110025</t>
  </si>
  <si>
    <t xml:space="preserve">Had a discussion with the team about our offering and business but couldn't meet the Principal architects. They will be available by Thursday. Need to confirm the appointment</t>
  </si>
  <si>
    <t xml:space="preserve">jyoti d tripathi</t>
  </si>
  <si>
    <t xml:space="preserve">MIM Architects</t>
  </si>
  <si>
    <t xml:space="preserve">8076361417</t>
  </si>
  <si>
    <t xml:space="preserve">S 72&amp;75 C, Hargobind Enclave, Lala Bhagwan Das Rd, Block S, Rajpur Khurd Extension, Chhatarpur, New Delhi, Delhi 110068</t>
  </si>
  <si>
    <t xml:space="preserve">They do turnkey projects and no requirements of additional service.</t>
  </si>
  <si>
    <t xml:space="preserve">City cube architects</t>
  </si>
  <si>
    <t xml:space="preserve">098717 73477</t>
  </si>
  <si>
    <t xml:space="preserve">C-260, C Block, Sector 44, Noida, Uttar Pradesh 201313</t>
  </si>
  <si>
    <t xml:space="preserve">Principal architect (Owner) is out of town and will only be available after January 9</t>
  </si>
  <si>
    <t xml:space="preserve">sandeep</t>
  </si>
  <si>
    <t xml:space="preserve">20 Dec</t>
  </si>
  <si>
    <t xml:space="preserve">NEOMEN - Architects and Interior Designers</t>
  </si>
  <si>
    <t xml:space="preserve">092201 10411</t>
  </si>
  <si>
    <t xml:space="preserve">Devsha Business Park, D-215, D Block, Sector 63, Noida, Uttar Pradesh 201309</t>
  </si>
  <si>
    <t xml:space="preserve">Client was not available. Couldn't connect with anyone here and also denied entry without prior appointment</t>
  </si>
  <si>
    <t xml:space="preserve">kiren</t>
  </si>
  <si>
    <t xml:space="preserve">098739 22072</t>
  </si>
  <si>
    <t xml:space="preserve">India Accelerator, 3rd &amp; 5th Floor, The Iconic Corenthum, Tower C, Sector 62, Noida, Uttar Pradesh</t>
  </si>
  <si>
    <t xml:space="preserve">Principal architect was not available for discussion. Had a discussion with his team member. Meeting set on Wednesday.</t>
  </si>
  <si>
    <t xml:space="preserve">3B, Rajendra Nagar, Pusa Road, New Delhi, Central Delhi DL 110060 IN</t>
  </si>
  <si>
    <t xml:space="preserve">They are majorly into residential projects and does not have much scope for us.</t>
  </si>
  <si>
    <t xml:space="preserve">19 Dec</t>
  </si>
  <si>
    <t xml:space="preserve">097177 10338</t>
  </si>
  <si>
    <t xml:space="preserve">2nd floor, D-55, Red FM Road, near Noida Sector 16 Metro Station, D Block, Sector 2, Noida, Uttar Pradesh 201301</t>
  </si>
  <si>
    <t xml:space="preserve">Office was not available on the given address. Client not picking my call</t>
  </si>
  <si>
    <t xml:space="preserve">088026 75731</t>
  </si>
  <si>
    <t xml:space="preserve">D-61, Sector-02, Sector 16, Noida, Uttar Pradesh 201301</t>
  </si>
  <si>
    <t xml:space="preserve">Had a discussion with Mr Manish Kumar. He said he has already worked with Hagerstone International but he does want to work with us since his experience has not been good so far.</t>
  </si>
  <si>
    <t xml:space="preserve">093501 84847</t>
  </si>
  <si>
    <t xml:space="preserve">D-136, D Block, Sector 50, Noida, Uttar Pradesh 201303</t>
  </si>
  <si>
    <t xml:space="preserve">Very important architect. Shared the details with him. Also connected with him on LinkedIn to be in touch. He will share some BOQ in January to understand the pricing</t>
  </si>
  <si>
    <t xml:space="preserve">inder shekhar tripathi</t>
  </si>
  <si>
    <t xml:space="preserve">Dahell designs</t>
  </si>
  <si>
    <t xml:space="preserve">098114 13618</t>
  </si>
  <si>
    <t xml:space="preserve">F 1, 3rd Floor, Block F, Noida Sector 3, Noida, Uttar Pradesh 201301</t>
  </si>
  <si>
    <t xml:space="preserve">Had a meeting with Rehan Mehra. He said they are majorly into residential projects but they [have] few enquiries for office interiors.</t>
  </si>
  <si>
    <t xml:space="preserve">Hero Reality</t>
  </si>
  <si>
    <t xml:space="preserve">Had a very fruitful discussion. He was ready to have us for upcoming projects. Shared profile on mail. Need further discussion and meetings</t>
  </si>
  <si>
    <t xml:space="preserve">Vishal</t>
  </si>
  <si>
    <t xml:space="preserve">SHIVOASIS - ARCHITECTS AND INTERIOR DESIGNERS</t>
  </si>
  <si>
    <t xml:space="preserve">091490 95591</t>
  </si>
  <si>
    <t xml:space="preserve">ACE PLATINUM, E 2006, Zeta I, Greater Noida, Uttar Pradesh 201310</t>
  </si>
  <si>
    <t xml:space="preserve">INTERESTED (SHARE YOUR PROFILE THEN WE WILL DISCUSS FURTHER). He was not available for meeting</t>
  </si>
  <si>
    <t xml:space="preserve">MOHINI MITTAL</t>
  </si>
  <si>
    <t xml:space="preserve">18 Dec</t>
  </si>
  <si>
    <t xml:space="preserve">Ansh Design Innovation</t>
  </si>
  <si>
    <t xml:space="preserve">099103 68369</t>
  </si>
  <si>
    <t xml:space="preserve">D-103, Swarn Nagari, Block D, Sector Swarn Nagri, Greater Noida, Uttar Pradesh 201315</t>
  </si>
  <si>
    <t xml:space="preserve">Had a discussion about our completed projects. Shared our profile. Further meeting is required to get projects</t>
  </si>
  <si>
    <t xml:space="preserve">priti tripoati</t>
  </si>
  <si>
    <t xml:space="preserve">17 Dec</t>
  </si>
  <si>
    <t xml:space="preserve">Designers Expo / N&amp;J Architects</t>
  </si>
  <si>
    <t xml:space="preserve">093139 73676</t>
  </si>
  <si>
    <t xml:space="preserve">E 62, Alpha 1, Block E, Alpha I, Greater Noida, Uttar Pradesh 201310</t>
  </si>
  <si>
    <t xml:space="preserve">Projects into Delhi/NCR, Agra, Mathura and Meerut. He does only turnkey projects. He will share projects only if he is not able to handle on his own.</t>
  </si>
  <si>
    <t xml:space="preserve">Building 6, Sector 34, Gurgaon, Haryana</t>
  </si>
  <si>
    <t xml:space="preserve">Mr Hardesh was not available. Asked to connect after 27th to setup a meeting.</t>
  </si>
  <si>
    <t xml:space="preserve">099998 73209</t>
  </si>
  <si>
    <t xml:space="preserve">A/610, Sushant Lok 1 Rd, Sector 28, Sushant Lok Phase I, Sector 43, Gurugram, Haryana 122002</t>
  </si>
  <si>
    <t xml:space="preserve">Hitesh has seen our profile. He also saw some project photos. Discussed the details. Asked to call after 28th to setup a meeting with Mr Prashant</t>
  </si>
  <si>
    <t xml:space="preserve">Ar. Prasant Sharma</t>
  </si>
  <si>
    <t xml:space="preserve">Mark and spencer</t>
  </si>
  <si>
    <t xml:space="preserve">(no remark recorded in source)</t>
  </si>
  <si>
    <t xml:space="preserve">16 Dec</t>
  </si>
  <si>
    <t xml:space="preserve">Source: same thread, message dated Tue, 23 Dec 2025, 6:46 PM. The covering line claims 21 meetings this week; the table itself contains 20 rows. Google Maps hyperlink fragments have been stripped from the addresses; text is otherwise verbatim, with [square brackets] marking a word inserted for readability.</t>
  </si>
  <si>
    <t xml:space="preserve">Studio Name</t>
  </si>
  <si>
    <t xml:space="preserve">Date (as written in source)</t>
  </si>
  <si>
    <t xml:space="preserve">Remarks</t>
  </si>
  <si>
    <t xml:space="preserve">Nagesh Singh / Sunita Singh</t>
  </si>
  <si>
    <t xml:space="preserve">06/12/2025</t>
  </si>
  <si>
    <t xml:space="preserve">He has residential and commercial projects. He wants to connect with Dhruv Sir on Monday, Tuesday or on 12th. Need to confirm timings from Dhruv Sir.</t>
  </si>
  <si>
    <t xml:space="preserve">Shefali Design Studio</t>
  </si>
  <si>
    <t xml:space="preserve">Shefali</t>
  </si>
  <si>
    <t xml:space="preserve">05/12/2025</t>
  </si>
  <si>
    <t xml:space="preserve">He is into residential and commercial projects. No projects as of now but she is interested to work with us</t>
  </si>
  <si>
    <t xml:space="preserve">Ar. kanishk</t>
  </si>
  <si>
    <t xml:space="preserve">Kanishk was not present. His employee Aviral was present who said that they are majorly into residential projects but they will share any enquiry for commercial projects.</t>
  </si>
  <si>
    <t xml:space="preserve">designICON | Architects &amp; Interior Designers in Gurugram</t>
  </si>
  <si>
    <t xml:space="preserve">Ar. Jatin</t>
  </si>
  <si>
    <t xml:space="preserve">04/12/2025</t>
  </si>
  <si>
    <t xml:space="preserve">He is an architect with over 30+ years of experience. He is majorly into residential projects. Asked for an execution partner to be in commercial projects. Initial impressions suggest that we won't be getting any projects from them as they already do turnkey projects.</t>
  </si>
  <si>
    <t xml:space="preserve">03/12/2025</t>
  </si>
  <si>
    <t xml:space="preserve">He will share some projects with us. One additional meeting to solidify our networking. He is into commercial and landscaping and residential projects</t>
  </si>
  <si>
    <t xml:space="preserve">BuildWise Consultants</t>
  </si>
  <si>
    <t xml:space="preserve">Mr Hasan</t>
  </si>
  <si>
    <t xml:space="preserve">02/12/2025</t>
  </si>
  <si>
    <t xml:space="preserve">He is into interior fitouts, wooden work and painting works of industrial and commercial projects. He is not an architect but would be helpful in sharing leads.</t>
  </si>
  <si>
    <t xml:space="preserve">BH constructions</t>
  </si>
  <si>
    <t xml:space="preserve">Mr Harsh Diwan</t>
  </si>
  <si>
    <t xml:space="preserve">29/12/2025</t>
  </si>
  <si>
    <t xml:space="preserve">He is majorly into residential projects. So not very helpful meeting</t>
  </si>
  <si>
    <t xml:space="preserve">Arkin Designs | Interior Designer in Gurgaon</t>
  </si>
  <si>
    <t xml:space="preserve">Ar Nitin Sharma</t>
  </si>
  <si>
    <t xml:space="preserve">28/12/2025</t>
  </si>
  <si>
    <t xml:space="preserve">He will share projects which is out of Delhi NCR</t>
  </si>
  <si>
    <t xml:space="preserve">Arshay</t>
  </si>
  <si>
    <t xml:space="preserve">27/12/2025</t>
  </si>
  <si>
    <t xml:space="preserve">He does has projects of our scale and majority of it is into residential</t>
  </si>
  <si>
    <t xml:space="preserve">VA-MAP ARCHITECTS</t>
  </si>
  <si>
    <t xml:space="preserve">Meeting done it do very promising as he already has a team.</t>
  </si>
  <si>
    <t xml:space="preserve">Saakar Creations Private Limited</t>
  </si>
  <si>
    <t xml:space="preserve">26/12/2025</t>
  </si>
  <si>
    <t xml:space="preserve">He is into industrial and commercial projects. He does big projects around 15-60 vr [cr] projects. Need further meeting to projects</t>
  </si>
  <si>
    <t xml:space="preserve">Nitin Pande</t>
  </si>
  <si>
    <t xml:space="preserve">25/12/2025</t>
  </si>
  <si>
    <t xml:space="preserve">He has a lot of ongoing projects. He is into commercial, residential, and resorts. Need further interactions to get projects</t>
  </si>
  <si>
    <t xml:space="preserve">He has a lot of ongoing projects. He has discussed initial requirements for residential projects. We have asked for commercial requirements. Need regular interaction to get projects from him</t>
  </si>
  <si>
    <t xml:space="preserve">Mini S vasudeva</t>
  </si>
  <si>
    <t xml:space="preserve">24/12/2025</t>
  </si>
  <si>
    <t xml:space="preserve">She needs an execution team for her projects. For now she has 1 residential project for discussion. We have asked to commercial projects</t>
  </si>
  <si>
    <t xml:space="preserve">Source: same thread, message dated Mon, 8 Dec 2025, 11:56 AM. Covering line: '14 meetings till Saturday' - 14 rows, consistent. Dates highlighted in yellow (24/12 to 29/12/2025) fall AFTER the email was sent and cannot be correct as written; they are most likely November 2025 dates. Left unchanged - confirm with the Delhi team.</t>
  </si>
  <si>
    <t xml:space="preserve">Weekly Task Summary - week ending 13 Dec 2025</t>
  </si>
  <si>
    <t xml:space="preserve">Activity Metrics</t>
  </si>
  <si>
    <t xml:space="preserve">New clients scraped (new tooling)</t>
  </si>
  <si>
    <t xml:space="preserve">Clients given initial outreach</t>
  </si>
  <si>
    <t xml:space="preserve">Clients under active engagement</t>
  </si>
  <si>
    <t xml:space="preserve">Clients sent company profile</t>
  </si>
  <si>
    <t xml:space="preserve">Blocker reported</t>
  </si>
  <si>
    <t xml:space="preserve">LinkedIn services not functioning, blocking decision-maker contact lookup. Coordination attempted with Manoj Sir, who was unavailable.</t>
  </si>
  <si>
    <t xml:space="preserve">Client Meetings Conducted</t>
  </si>
  <si>
    <t xml:space="preserve">Client</t>
  </si>
  <si>
    <t xml:space="preserve">Sojitz</t>
  </si>
  <si>
    <t xml:space="preserve">08/12/2025</t>
  </si>
  <si>
    <t xml:space="preserve">Submission of documents and meeting with Ms. Mehak</t>
  </si>
  <si>
    <t xml:space="preserve">Ek Chatt Associate</t>
  </si>
  <si>
    <t xml:space="preserve">09/12/2025</t>
  </si>
  <si>
    <t xml:space="preserve">Engaged in township, residential, and commercial projects with an in-house execution team. They will share inquiries for large-scale projects.</t>
  </si>
  <si>
    <t xml:space="preserve">10/12/2025</t>
  </si>
  <si>
    <t xml:space="preserve">Meeting with Mr. Abhay; decision-makers were unavailable. Follow-up scheduled after 15th Dec.</t>
  </si>
  <si>
    <t xml:space="preserve">Meskot Architecture Services</t>
  </si>
  <si>
    <t xml:space="preserve">Primarily focused on small-scale residential projects. Will connect if larger opportunities arise.</t>
  </si>
  <si>
    <t xml:space="preserve">YKK</t>
  </si>
  <si>
    <t xml:space="preserve">11/12/2025</t>
  </si>
  <si>
    <t xml:space="preserve">Meeting at Bawal. Very positive discussion regarding ASRS and automation requirements.</t>
  </si>
  <si>
    <t xml:space="preserve">12/12/2025</t>
  </si>
  <si>
    <t xml:space="preserve">Meeting with Mr. Yonikawa and Ms. Mehak to review current status and finalize requirements.</t>
  </si>
  <si>
    <t xml:space="preserve">Meetings Planned After 15 December</t>
  </si>
  <si>
    <t xml:space="preserve">AR Atelier</t>
  </si>
  <si>
    <t xml:space="preserve">PAL Design</t>
  </si>
  <si>
    <t xml:space="preserve">Ar. Kartik Khanna</t>
  </si>
  <si>
    <t xml:space="preserve">Essentia Environments</t>
  </si>
  <si>
    <t xml:space="preserve">Spacematter</t>
  </si>
  <si>
    <t xml:space="preserve">Vastukone</t>
  </si>
  <si>
    <t xml:space="preserve">Rhythm Architects (meeting on 15th Dec)</t>
  </si>
  <si>
    <t xml:space="preserve">Design &amp; Architecture Solution Outreach</t>
  </si>
  <si>
    <t xml:space="preserve">Archtalisman</t>
  </si>
  <si>
    <t xml:space="preserve">Maan Architects</t>
  </si>
  <si>
    <t xml:space="preserve">MSAP Architects</t>
  </si>
  <si>
    <t xml:space="preserve">Ar. Anurag Sharma</t>
  </si>
  <si>
    <t xml:space="preserve">NK Architects</t>
  </si>
  <si>
    <t xml:space="preserve">ARB Designs</t>
  </si>
  <si>
    <t xml:space="preserve">What Went Wrong</t>
  </si>
  <si>
    <t xml:space="preserve">Meeting count below target</t>
  </si>
  <si>
    <t xml:space="preserve">Architects unavailable and meetings rescheduled to the following week.</t>
  </si>
  <si>
    <t xml:space="preserve">What Went Right</t>
  </si>
  <si>
    <t xml:space="preserve">YKK India</t>
  </si>
  <si>
    <t xml:space="preserve">Progressing toward closure and finalization; one step closer to confirmation.</t>
  </si>
  <si>
    <t xml:space="preserve">Source: same thread, message dated Sat, 13 Dec 2025, 5:00 PM.</t>
  </si>
  <si>
    <t xml:space="preserve">Strategic Analysis &amp; Recommendations (24 Dec 2025 email)</t>
  </si>
  <si>
    <t xml:space="preserve">Bucket</t>
  </si>
  <si>
    <t xml:space="preserve">Recommended Action (as stated in email)</t>
  </si>
  <si>
    <t xml:space="preserve">Priority 1 - High-Value Targets (Immediate Focus)</t>
  </si>
  <si>
    <t xml:space="preserve">Schedule meetings within the next 2-3 weeks. Maintain weekly touchpoints and prepare BOQ/pricing readiness.</t>
  </si>
  <si>
    <t xml:space="preserve">Priority 2 - Medium Potential</t>
  </si>
  <si>
    <t xml:space="preserve">NEOMEN Architects</t>
  </si>
  <si>
    <t xml:space="preserve">Nurture via follow-up emails, capability decks, and selective project references.</t>
  </si>
  <si>
    <t xml:space="preserve">Priority 4 - Low Conversion / Opportunistic</t>
  </si>
  <si>
    <t xml:space="preserve">Primarily residential-focused or turnkey firms with in-house execution (no individual names listed in source)</t>
  </si>
  <si>
    <t xml:space="preserve">Quarterly check-ins only. Do not allocate high sales bandwidth.</t>
  </si>
  <si>
    <t xml:space="preserve">Note: the source email defines Priority 3 in its legend but gives no recommended action for that bucket. Shefali Design Studio is listed here under Priority 2 but has no row in the 24 Dec master tracker.</t>
  </si>
  <si>
    <t xml:space="preserve">Master Tracker - Counts by Priority</t>
  </si>
  <si>
    <t xml:space="preserve">Count</t>
  </si>
  <si>
    <t xml:space="preserve">Basis</t>
  </si>
  <si>
    <t xml:space="preserve">Total rows in tracker</t>
  </si>
  <si>
    <t xml:space="preserve">Counted from the tracker itself. The email's covering line claims 43 meetings in 28 days.</t>
  </si>
  <si>
    <t xml:space="preserve">Regional split</t>
  </si>
  <si>
    <t xml:space="preserve">Meetings logged in 23 Dec email (rows)</t>
  </si>
  <si>
    <t xml:space="preserve">Email covering line claims 21 meetings that week.</t>
  </si>
  <si>
    <t xml:space="preserve">Meetings logged in 08 Dec email (rows)</t>
  </si>
  <si>
    <t xml:space="preserve">Email covering line claims 14 meetings till Saturday - consistent.</t>
  </si>
  <si>
    <t xml:space="preserve">Data notes, discrepancies and things to verify</t>
  </si>
  <si>
    <t xml:space="preserve">Nothing below has been corrected in the data sheets - all source text is transcribed as written. Verify with the Delhi/NCR team before using this data for reporting.</t>
  </si>
  <si>
    <t xml:space="preserve">#</t>
  </si>
  <si>
    <t xml:space="preserve">Category</t>
  </si>
  <si>
    <t xml:space="preserve">Issue</t>
  </si>
  <si>
    <t xml:space="preserve">Count mismatch</t>
  </si>
  <si>
    <t xml:space="preserve">The 24 Dec email states 43 meetings in 28 days, but the tracker it contains lists 35 client rows. The gap is not explained in the email.</t>
  </si>
  <si>
    <t xml:space="preserve">The 23 Dec email states 21 meetings for the week; its table has 20 rows.</t>
  </si>
  <si>
    <t xml:space="preserve">Impossible dates</t>
  </si>
  <si>
    <t xml:space="preserve">The 08 Dec email lists meetings dated 24/12/2025 to 29/12/2025 - after the email was sent. These are almost certainly November dates mistyped as December. Highlighted yellow on the '15-Day Report (08 Dec)' sheet.</t>
  </si>
  <si>
    <t xml:space="preserve">Priority conflict</t>
  </si>
  <si>
    <t xml:space="preserve">NEOMEN Architects is Priority 1 in the 23 Dec log and Priority 2 in the 24 Dec master tracker. The 24 Dec version is the later one.</t>
  </si>
  <si>
    <t xml:space="preserve">POC conflict</t>
  </si>
  <si>
    <t xml:space="preserve">Niche Architects shows POC 'Hardesh Chawla' in the 08 Dec report but 'Harish' in the 24 Dec tracker. Hardesh Chawla is listed elsewhere as the POC for ESSENTIA ENVIRONMENT.</t>
  </si>
  <si>
    <t xml:space="preserve">Missing from tracker</t>
  </si>
  <si>
    <t xml:space="preserve">Shefali Design Studio appears in the Priority 2 recommendation list but has no row in the 24 Dec master tracker.</t>
  </si>
  <si>
    <t xml:space="preserve">These firms appear in earlier emails in the thread but not in the 24 Dec master tracker: MIM Architects, SHIVOASIS, Ansh Design Innovation, Designers Expo / N&amp;J Architects, BuildWise Consultants, Sojitz, Rhythm Architects, Spacematter, Vastukone, PAL Design, Ar. Kartik Khanna, Maan Architects, Ar. Anurag Sharma, NK Architects, ARB Designs.</t>
  </si>
  <si>
    <t xml:space="preserve">Blank priority</t>
  </si>
  <si>
    <t xml:space="preserve">YKK India Pvt. Ltd. and M3M have no priority assigned in the source; recorded here as 'Not specified'.</t>
  </si>
  <si>
    <t xml:space="preserve">No action defined</t>
  </si>
  <si>
    <t xml:space="preserve">The email legend defines Priority 3 but the Strategic Analysis section gives recommended actions only for Priority 1, 2 and 4.</t>
  </si>
  <si>
    <t xml:space="preserve">Name variants</t>
  </si>
  <si>
    <t xml:space="preserve">The same entities are spelled differently across messages and are left as written: Hero Realty / Hero Reality; Mark &amp; Spencer / Mark and spencer; Ar. Prashant Sharma / Ar. Prasant Sharma; designICON; Dahell designs. 'Goving Gulati' and 'priti tripoati' also look like typos in the source.</t>
  </si>
  <si>
    <t xml:space="preserve">Ambiguous remark</t>
  </si>
  <si>
    <t xml:space="preserve">True Infra Solutions (23 Dec): 'he has already worked with Hagerstone international but he does want to work with us since his experience has not been good so far' reads contradictorily. The 24 Dec tracker restates it as a past negative experience with a competitor. Worth clarifying which is correct.</t>
  </si>
  <si>
    <t xml:space="preserve">MSAP Architects (23 Dec): the remark names 'Hitesh' as the person met, while the POC column names Ar. Prasant Sharma.</t>
  </si>
  <si>
    <t xml:space="preserve">Formatting</t>
  </si>
  <si>
    <t xml:space="preserve">Phone numbers are stored as text to preserve leading zeros. Spacing in the 23 Dec log ('099103 32663') is as it appeared in the email. Email-client artifacts such as '&lt;(858)%20803-8438&gt;' have been removed.</t>
  </si>
  <si>
    <t xml:space="preserve">Amount typo</t>
  </si>
  <si>
    <t xml:space="preserve">Saakar Creations: '15-60 vr projects' in the 08 Dec email, restated as '15-60 cr' in the 24 Dec tracker. Assumed to mean crore, but not confirmed.</t>
  </si>
  <si>
    <t xml:space="preserve">Removed content</t>
  </si>
  <si>
    <t xml:space="preserve">Google Maps hyperlink fragments embedded in the addresses have been stripped. No address text was otherwise altered.</t>
  </si>
  <si>
    <t xml:space="preserve">Source thread</t>
  </si>
  <si>
    <t xml:space="preserve">Gmail thread 'Fwd: Meeting Report : Last 15 Days', forwarded by EA Hagerstone (ea@hagerstone.com) to ai@hagerstone.com. Original messages from Delhi/NCR Hagerstone International (delhi@hagerstone.com) dated 8, 13, 23 and 24 December 2025, addressed to Dhruv Sir.</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</si>
</sst>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i val="true"/>
      <sz val="9"/>
      <name val="Arial"/>
      <family val="0"/>
      <charset val="1"/>
    </font>
    <font>
      <b val="true"/>
      <sz val="12"/>
      <color rgb="FF1F3864"/>
      <name val="Arial"/>
      <family val="0"/>
      <charset val="1"/>
    </font>
    <font>
      <b val="true"/>
      <sz val="10"/>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FBE5D6"/>
        <bgColor rgb="FFFFF2CC"/>
      </patternFill>
    </fill>
    <fill>
      <patternFill patternType="solid">
        <fgColor rgb="FFF2F2F2"/>
        <bgColor rgb="FFFFFFFF"/>
      </patternFill>
    </fill>
    <fill>
      <patternFill patternType="solid">
        <fgColor rgb="FFC6E0B4"/>
        <bgColor rgb="FFD9E2F3"/>
      </patternFill>
    </fill>
    <fill>
      <patternFill patternType="solid">
        <fgColor rgb="FFF8CBAD"/>
        <bgColor rgb="FFFFE699"/>
      </patternFill>
    </fill>
    <fill>
      <patternFill patternType="solid">
        <fgColor rgb="FFFFE699"/>
        <bgColor rgb="FFFFF2CC"/>
      </patternFill>
    </fill>
    <fill>
      <patternFill patternType="solid">
        <fgColor rgb="FFFFF2CC"/>
        <bgColor rgb="FFFBE5D6"/>
      </patternFill>
    </fill>
    <fill>
      <patternFill patternType="solid">
        <fgColor rgb="FFD9E2F3"/>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5" fillId="6" borderId="1" xfId="0" applyFont="true" applyBorder="true" applyAlignment="true" applyProtection="false">
      <alignment horizontal="center" vertical="top" textRotation="0" wrapText="false" indent="0" shrinkToFit="false"/>
      <protection locked="true" hidden="false"/>
    </xf>
    <xf numFmtId="164" fontId="5" fillId="7"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9"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2F2F2"/>
          <bgColor rgb="FF000000"/>
        </patternFill>
      </fill>
    </dxf>
    <dxf>
      <fill>
        <patternFill patternType="solid">
          <fgColor rgb="FFF8CBAD"/>
          <bgColor rgb="FF000000"/>
        </patternFill>
      </fill>
    </dxf>
    <dxf>
      <fill>
        <patternFill patternType="solid">
          <fgColor rgb="FFFBE5D6"/>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BE5D6"/>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16"/>
    <col collapsed="false" customWidth="true" hidden="false" outlineLevel="0" max="4" min="4" style="0" width="26"/>
    <col collapsed="false" customWidth="true" hidden="false" outlineLevel="0" max="5" min="5" style="0" width="14"/>
    <col collapsed="false" customWidth="true" hidden="false" outlineLevel="0" max="6" min="6" style="0" width="62"/>
    <col collapsed="false" customWidth="true" hidden="false" outlineLevel="0" max="7" min="7" style="0" width="24"/>
  </cols>
  <sheetData>
    <row r="1" customFormat="false" ht="27.75" hidden="false" customHeight="true" outlineLevel="0" collapsed="false">
      <c r="A1" s="1" t="s">
        <v>0</v>
      </c>
      <c r="B1" s="1" t="s">
        <v>1</v>
      </c>
      <c r="C1" s="1" t="s">
        <v>2</v>
      </c>
      <c r="D1" s="1" t="s">
        <v>3</v>
      </c>
      <c r="E1" s="1" t="s">
        <v>4</v>
      </c>
      <c r="F1" s="1" t="s">
        <v>5</v>
      </c>
      <c r="G1" s="1" t="s">
        <v>6</v>
      </c>
    </row>
    <row r="2" customFormat="false" ht="23.85" hidden="false" customHeight="false" outlineLevel="0" collapsed="false">
      <c r="A2" s="2" t="s">
        <v>7</v>
      </c>
      <c r="B2" s="2" t="s">
        <v>8</v>
      </c>
      <c r="C2" s="3" t="s">
        <v>9</v>
      </c>
      <c r="D2" s="2" t="s">
        <v>10</v>
      </c>
      <c r="E2" s="4" t="s">
        <v>11</v>
      </c>
      <c r="F2" s="2" t="s">
        <v>12</v>
      </c>
      <c r="G2" s="2" t="s">
        <v>13</v>
      </c>
    </row>
    <row r="3" customFormat="false" ht="23.85" hidden="false" customHeight="false" outlineLevel="0" collapsed="false">
      <c r="A3" s="2" t="s">
        <v>7</v>
      </c>
      <c r="B3" s="2" t="s">
        <v>14</v>
      </c>
      <c r="C3" s="3" t="s">
        <v>15</v>
      </c>
      <c r="D3" s="2" t="s">
        <v>16</v>
      </c>
      <c r="E3" s="5" t="s">
        <v>17</v>
      </c>
      <c r="F3" s="2" t="s">
        <v>18</v>
      </c>
      <c r="G3" s="2" t="s">
        <v>19</v>
      </c>
    </row>
    <row r="4" customFormat="false" ht="23.85" hidden="false" customHeight="false" outlineLevel="0" collapsed="false">
      <c r="A4" s="2" t="s">
        <v>7</v>
      </c>
      <c r="B4" s="2" t="s">
        <v>20</v>
      </c>
      <c r="C4" s="3" t="s">
        <v>21</v>
      </c>
      <c r="D4" s="2" t="s">
        <v>10</v>
      </c>
      <c r="E4" s="4" t="s">
        <v>11</v>
      </c>
      <c r="F4" s="2" t="s">
        <v>22</v>
      </c>
      <c r="G4" s="2" t="s">
        <v>23</v>
      </c>
    </row>
    <row r="5" customFormat="false" ht="23.85" hidden="false" customHeight="false" outlineLevel="0" collapsed="false">
      <c r="A5" s="2" t="s">
        <v>7</v>
      </c>
      <c r="B5" s="2" t="s">
        <v>24</v>
      </c>
      <c r="C5" s="3" t="s">
        <v>25</v>
      </c>
      <c r="D5" s="2" t="s">
        <v>26</v>
      </c>
      <c r="E5" s="6" t="s">
        <v>27</v>
      </c>
      <c r="F5" s="2" t="s">
        <v>28</v>
      </c>
      <c r="G5" s="2" t="s">
        <v>29</v>
      </c>
    </row>
    <row r="6" customFormat="false" ht="15" hidden="false" customHeight="false" outlineLevel="0" collapsed="false">
      <c r="A6" s="2" t="s">
        <v>7</v>
      </c>
      <c r="B6" s="2" t="s">
        <v>30</v>
      </c>
      <c r="C6" s="3" t="s">
        <v>31</v>
      </c>
      <c r="D6" s="2" t="s">
        <v>32</v>
      </c>
      <c r="E6" s="7" t="s">
        <v>33</v>
      </c>
      <c r="F6" s="2" t="s">
        <v>34</v>
      </c>
      <c r="G6" s="2" t="s">
        <v>31</v>
      </c>
    </row>
    <row r="7" customFormat="false" ht="15" hidden="false" customHeight="false" outlineLevel="0" collapsed="false">
      <c r="A7" s="2" t="s">
        <v>7</v>
      </c>
      <c r="B7" s="2" t="s">
        <v>35</v>
      </c>
      <c r="C7" s="3" t="s">
        <v>36</v>
      </c>
      <c r="D7" s="2" t="s">
        <v>37</v>
      </c>
      <c r="E7" s="5" t="s">
        <v>17</v>
      </c>
      <c r="F7" s="2" t="s">
        <v>38</v>
      </c>
      <c r="G7" s="2" t="s">
        <v>39</v>
      </c>
    </row>
    <row r="8" customFormat="false" ht="15" hidden="false" customHeight="false" outlineLevel="0" collapsed="false">
      <c r="A8" s="2" t="s">
        <v>7</v>
      </c>
      <c r="B8" s="2" t="s">
        <v>40</v>
      </c>
      <c r="C8" s="3" t="s">
        <v>41</v>
      </c>
      <c r="D8" s="2" t="s">
        <v>42</v>
      </c>
      <c r="E8" s="5" t="s">
        <v>17</v>
      </c>
      <c r="F8" s="2" t="s">
        <v>43</v>
      </c>
      <c r="G8" s="2" t="s">
        <v>44</v>
      </c>
    </row>
    <row r="9" customFormat="false" ht="15" hidden="false" customHeight="false" outlineLevel="0" collapsed="false">
      <c r="A9" s="2" t="s">
        <v>45</v>
      </c>
      <c r="B9" s="2" t="s">
        <v>46</v>
      </c>
      <c r="C9" s="3" t="s">
        <v>47</v>
      </c>
      <c r="D9" s="2" t="s">
        <v>48</v>
      </c>
      <c r="E9" s="6" t="s">
        <v>27</v>
      </c>
      <c r="F9" s="2" t="s">
        <v>49</v>
      </c>
      <c r="G9" s="2" t="s">
        <v>50</v>
      </c>
    </row>
    <row r="10" customFormat="false" ht="23.85" hidden="false" customHeight="false" outlineLevel="0" collapsed="false">
      <c r="A10" s="2" t="s">
        <v>45</v>
      </c>
      <c r="B10" s="2" t="s">
        <v>51</v>
      </c>
      <c r="C10" s="3" t="s">
        <v>52</v>
      </c>
      <c r="D10" s="2" t="s">
        <v>53</v>
      </c>
      <c r="E10" s="8" t="s">
        <v>54</v>
      </c>
      <c r="F10" s="2" t="s">
        <v>55</v>
      </c>
      <c r="G10" s="2" t="s">
        <v>56</v>
      </c>
    </row>
    <row r="11" customFormat="false" ht="23.85" hidden="false" customHeight="false" outlineLevel="0" collapsed="false">
      <c r="A11" s="2" t="s">
        <v>45</v>
      </c>
      <c r="B11" s="2" t="s">
        <v>57</v>
      </c>
      <c r="C11" s="3" t="s">
        <v>58</v>
      </c>
      <c r="D11" s="2" t="s">
        <v>59</v>
      </c>
      <c r="E11" s="6" t="s">
        <v>27</v>
      </c>
      <c r="F11" s="2" t="s">
        <v>60</v>
      </c>
      <c r="G11" s="2" t="s">
        <v>61</v>
      </c>
    </row>
    <row r="12" customFormat="false" ht="15" hidden="false" customHeight="false" outlineLevel="0" collapsed="false">
      <c r="A12" s="2" t="s">
        <v>45</v>
      </c>
      <c r="B12" s="2" t="s">
        <v>62</v>
      </c>
      <c r="C12" s="3" t="s">
        <v>63</v>
      </c>
      <c r="D12" s="2" t="s">
        <v>64</v>
      </c>
      <c r="E12" s="5" t="s">
        <v>17</v>
      </c>
      <c r="F12" s="2" t="s">
        <v>65</v>
      </c>
      <c r="G12" s="2" t="s">
        <v>66</v>
      </c>
    </row>
    <row r="13" customFormat="false" ht="15" hidden="false" customHeight="false" outlineLevel="0" collapsed="false">
      <c r="A13" s="2" t="s">
        <v>45</v>
      </c>
      <c r="B13" s="2" t="s">
        <v>67</v>
      </c>
      <c r="C13" s="3" t="s">
        <v>68</v>
      </c>
      <c r="D13" s="2" t="s">
        <v>69</v>
      </c>
      <c r="E13" s="8" t="s">
        <v>54</v>
      </c>
      <c r="F13" s="2" t="s">
        <v>70</v>
      </c>
      <c r="G13" s="2" t="s">
        <v>71</v>
      </c>
    </row>
    <row r="14" customFormat="false" ht="15" hidden="false" customHeight="false" outlineLevel="0" collapsed="false">
      <c r="A14" s="2" t="s">
        <v>45</v>
      </c>
      <c r="B14" s="2" t="s">
        <v>72</v>
      </c>
      <c r="C14" s="3" t="s">
        <v>73</v>
      </c>
      <c r="D14" s="2" t="s">
        <v>74</v>
      </c>
      <c r="E14" s="6" t="s">
        <v>27</v>
      </c>
      <c r="F14" s="2" t="s">
        <v>75</v>
      </c>
      <c r="G14" s="2" t="s">
        <v>76</v>
      </c>
    </row>
    <row r="15" customFormat="false" ht="15" hidden="false" customHeight="false" outlineLevel="0" collapsed="false">
      <c r="A15" s="2" t="s">
        <v>45</v>
      </c>
      <c r="B15" s="2" t="s">
        <v>77</v>
      </c>
      <c r="C15" s="3" t="s">
        <v>78</v>
      </c>
      <c r="D15" s="2" t="s">
        <v>79</v>
      </c>
      <c r="E15" s="7" t="s">
        <v>33</v>
      </c>
      <c r="F15" s="2" t="s">
        <v>80</v>
      </c>
      <c r="G15" s="2" t="s">
        <v>81</v>
      </c>
    </row>
    <row r="16" customFormat="false" ht="15" hidden="false" customHeight="false" outlineLevel="0" collapsed="false">
      <c r="A16" s="2" t="s">
        <v>45</v>
      </c>
      <c r="B16" s="2" t="s">
        <v>82</v>
      </c>
      <c r="C16" s="3" t="s">
        <v>83</v>
      </c>
      <c r="D16" s="2" t="s">
        <v>53</v>
      </c>
      <c r="E16" s="5" t="s">
        <v>17</v>
      </c>
      <c r="F16" s="2" t="s">
        <v>84</v>
      </c>
      <c r="G16" s="2" t="s">
        <v>85</v>
      </c>
    </row>
    <row r="17" customFormat="false" ht="15" hidden="false" customHeight="false" outlineLevel="0" collapsed="false">
      <c r="A17" s="2" t="s">
        <v>45</v>
      </c>
      <c r="B17" s="2" t="s">
        <v>86</v>
      </c>
      <c r="C17" s="3" t="s">
        <v>87</v>
      </c>
      <c r="D17" s="2" t="s">
        <v>59</v>
      </c>
      <c r="E17" s="5" t="s">
        <v>17</v>
      </c>
      <c r="F17" s="2" t="s">
        <v>88</v>
      </c>
      <c r="G17" s="2" t="s">
        <v>89</v>
      </c>
    </row>
    <row r="18" customFormat="false" ht="23.85" hidden="false" customHeight="false" outlineLevel="0" collapsed="false">
      <c r="A18" s="2" t="s">
        <v>45</v>
      </c>
      <c r="B18" s="2" t="s">
        <v>90</v>
      </c>
      <c r="C18" s="3" t="s">
        <v>91</v>
      </c>
      <c r="D18" s="2" t="s">
        <v>53</v>
      </c>
      <c r="E18" s="6" t="s">
        <v>27</v>
      </c>
      <c r="F18" s="2" t="s">
        <v>92</v>
      </c>
      <c r="G18" s="2" t="s">
        <v>93</v>
      </c>
    </row>
    <row r="19" customFormat="false" ht="15" hidden="false" customHeight="false" outlineLevel="0" collapsed="false">
      <c r="A19" s="2" t="s">
        <v>45</v>
      </c>
      <c r="B19" s="2" t="s">
        <v>94</v>
      </c>
      <c r="C19" s="3" t="s">
        <v>95</v>
      </c>
      <c r="D19" s="2" t="s">
        <v>74</v>
      </c>
      <c r="E19" s="5" t="s">
        <v>17</v>
      </c>
      <c r="F19" s="2" t="s">
        <v>96</v>
      </c>
      <c r="G19" s="2" t="s">
        <v>97</v>
      </c>
    </row>
    <row r="20" customFormat="false" ht="15" hidden="false" customHeight="false" outlineLevel="0" collapsed="false">
      <c r="A20" s="2" t="s">
        <v>45</v>
      </c>
      <c r="B20" s="2" t="s">
        <v>98</v>
      </c>
      <c r="C20" s="3" t="s">
        <v>99</v>
      </c>
      <c r="D20" s="2" t="s">
        <v>100</v>
      </c>
      <c r="E20" s="5" t="s">
        <v>17</v>
      </c>
      <c r="F20" s="2" t="s">
        <v>101</v>
      </c>
      <c r="G20" s="2" t="s">
        <v>102</v>
      </c>
    </row>
    <row r="21" customFormat="false" ht="15" hidden="false" customHeight="false" outlineLevel="0" collapsed="false">
      <c r="A21" s="2" t="s">
        <v>45</v>
      </c>
      <c r="B21" s="2" t="s">
        <v>103</v>
      </c>
      <c r="C21" s="3" t="s">
        <v>104</v>
      </c>
      <c r="D21" s="2" t="s">
        <v>31</v>
      </c>
      <c r="E21" s="5" t="s">
        <v>17</v>
      </c>
      <c r="F21" s="2" t="s">
        <v>105</v>
      </c>
      <c r="G21" s="2" t="s">
        <v>106</v>
      </c>
    </row>
    <row r="22" customFormat="false" ht="15" hidden="false" customHeight="false" outlineLevel="0" collapsed="false">
      <c r="A22" s="2" t="s">
        <v>45</v>
      </c>
      <c r="B22" s="2" t="s">
        <v>107</v>
      </c>
      <c r="C22" s="3" t="s">
        <v>108</v>
      </c>
      <c r="D22" s="2" t="s">
        <v>100</v>
      </c>
      <c r="E22" s="5" t="s">
        <v>17</v>
      </c>
      <c r="F22" s="2" t="s">
        <v>109</v>
      </c>
      <c r="G22" s="2" t="s">
        <v>110</v>
      </c>
    </row>
    <row r="23" customFormat="false" ht="15" hidden="false" customHeight="false" outlineLevel="0" collapsed="false">
      <c r="A23" s="2" t="s">
        <v>45</v>
      </c>
      <c r="B23" s="2" t="s">
        <v>111</v>
      </c>
      <c r="C23" s="3" t="s">
        <v>112</v>
      </c>
      <c r="D23" s="2" t="s">
        <v>113</v>
      </c>
      <c r="E23" s="8" t="s">
        <v>54</v>
      </c>
      <c r="F23" s="2" t="s">
        <v>114</v>
      </c>
      <c r="G23" s="2" t="s">
        <v>115</v>
      </c>
    </row>
    <row r="24" customFormat="false" ht="15" hidden="false" customHeight="false" outlineLevel="0" collapsed="false">
      <c r="A24" s="2" t="s">
        <v>45</v>
      </c>
      <c r="B24" s="2" t="s">
        <v>116</v>
      </c>
      <c r="C24" s="3" t="s">
        <v>117</v>
      </c>
      <c r="D24" s="2" t="s">
        <v>79</v>
      </c>
      <c r="E24" s="5" t="s">
        <v>17</v>
      </c>
      <c r="F24" s="2" t="s">
        <v>118</v>
      </c>
      <c r="G24" s="2" t="s">
        <v>119</v>
      </c>
    </row>
    <row r="25" customFormat="false" ht="15" hidden="false" customHeight="false" outlineLevel="0" collapsed="false">
      <c r="A25" s="2" t="s">
        <v>45</v>
      </c>
      <c r="B25" s="2" t="s">
        <v>120</v>
      </c>
      <c r="C25" s="3" t="s">
        <v>121</v>
      </c>
      <c r="D25" s="2" t="s">
        <v>122</v>
      </c>
      <c r="E25" s="6" t="s">
        <v>27</v>
      </c>
      <c r="F25" s="2" t="s">
        <v>123</v>
      </c>
      <c r="G25" s="2" t="s">
        <v>124</v>
      </c>
    </row>
    <row r="26" customFormat="false" ht="15" hidden="false" customHeight="false" outlineLevel="0" collapsed="false">
      <c r="A26" s="2" t="s">
        <v>45</v>
      </c>
      <c r="B26" s="2" t="s">
        <v>125</v>
      </c>
      <c r="C26" s="3" t="s">
        <v>126</v>
      </c>
      <c r="D26" s="2" t="s">
        <v>127</v>
      </c>
      <c r="E26" s="6" t="s">
        <v>27</v>
      </c>
      <c r="F26" s="2" t="s">
        <v>128</v>
      </c>
      <c r="G26" s="2" t="s">
        <v>129</v>
      </c>
    </row>
    <row r="27" customFormat="false" ht="15" hidden="false" customHeight="false" outlineLevel="0" collapsed="false">
      <c r="A27" s="2" t="s">
        <v>130</v>
      </c>
      <c r="B27" s="2" t="s">
        <v>131</v>
      </c>
      <c r="C27" s="3" t="s">
        <v>31</v>
      </c>
      <c r="D27" s="2" t="s">
        <v>132</v>
      </c>
      <c r="E27" s="6" t="s">
        <v>27</v>
      </c>
      <c r="F27" s="2" t="s">
        <v>133</v>
      </c>
      <c r="G27" s="2" t="s">
        <v>31</v>
      </c>
    </row>
    <row r="28" customFormat="false" ht="15" hidden="false" customHeight="false" outlineLevel="0" collapsed="false">
      <c r="A28" s="2" t="s">
        <v>130</v>
      </c>
      <c r="B28" s="2" t="s">
        <v>134</v>
      </c>
      <c r="C28" s="3" t="s">
        <v>135</v>
      </c>
      <c r="D28" s="2" t="s">
        <v>136</v>
      </c>
      <c r="E28" s="6" t="s">
        <v>27</v>
      </c>
      <c r="F28" s="2" t="s">
        <v>137</v>
      </c>
      <c r="G28" s="2" t="s">
        <v>138</v>
      </c>
    </row>
    <row r="29" customFormat="false" ht="23.85" hidden="false" customHeight="false" outlineLevel="0" collapsed="false">
      <c r="A29" s="2" t="s">
        <v>130</v>
      </c>
      <c r="B29" s="2" t="s">
        <v>139</v>
      </c>
      <c r="C29" s="3" t="s">
        <v>140</v>
      </c>
      <c r="D29" s="2" t="s">
        <v>141</v>
      </c>
      <c r="E29" s="6" t="s">
        <v>27</v>
      </c>
      <c r="F29" s="2" t="s">
        <v>142</v>
      </c>
      <c r="G29" s="2" t="s">
        <v>143</v>
      </c>
    </row>
    <row r="30" customFormat="false" ht="15" hidden="false" customHeight="false" outlineLevel="0" collapsed="false">
      <c r="A30" s="2" t="s">
        <v>130</v>
      </c>
      <c r="B30" s="2" t="s">
        <v>144</v>
      </c>
      <c r="C30" s="3" t="s">
        <v>31</v>
      </c>
      <c r="D30" s="2" t="s">
        <v>132</v>
      </c>
      <c r="E30" s="5" t="s">
        <v>17</v>
      </c>
      <c r="F30" s="2" t="s">
        <v>145</v>
      </c>
      <c r="G30" s="2" t="s">
        <v>31</v>
      </c>
    </row>
    <row r="31" customFormat="false" ht="15" hidden="false" customHeight="false" outlineLevel="0" collapsed="false">
      <c r="A31" s="2" t="s">
        <v>130</v>
      </c>
      <c r="B31" s="2" t="s">
        <v>146</v>
      </c>
      <c r="C31" s="3" t="s">
        <v>147</v>
      </c>
      <c r="D31" s="2" t="s">
        <v>148</v>
      </c>
      <c r="E31" s="5" t="s">
        <v>17</v>
      </c>
      <c r="F31" s="2" t="s">
        <v>149</v>
      </c>
      <c r="G31" s="2" t="s">
        <v>150</v>
      </c>
    </row>
    <row r="32" customFormat="false" ht="15" hidden="false" customHeight="false" outlineLevel="0" collapsed="false">
      <c r="A32" s="2" t="s">
        <v>130</v>
      </c>
      <c r="B32" s="2" t="s">
        <v>151</v>
      </c>
      <c r="C32" s="3" t="s">
        <v>152</v>
      </c>
      <c r="D32" s="2" t="s">
        <v>153</v>
      </c>
      <c r="E32" s="5" t="s">
        <v>17</v>
      </c>
      <c r="F32" s="2" t="s">
        <v>154</v>
      </c>
      <c r="G32" s="2" t="s">
        <v>155</v>
      </c>
    </row>
    <row r="33" customFormat="false" ht="15" hidden="false" customHeight="false" outlineLevel="0" collapsed="false">
      <c r="A33" s="2" t="s">
        <v>130</v>
      </c>
      <c r="B33" s="2" t="s">
        <v>156</v>
      </c>
      <c r="C33" s="3" t="s">
        <v>157</v>
      </c>
      <c r="D33" s="2" t="s">
        <v>158</v>
      </c>
      <c r="E33" s="5" t="s">
        <v>17</v>
      </c>
      <c r="F33" s="2" t="s">
        <v>159</v>
      </c>
      <c r="G33" s="2" t="s">
        <v>160</v>
      </c>
    </row>
    <row r="34" customFormat="false" ht="23.85" hidden="false" customHeight="false" outlineLevel="0" collapsed="false">
      <c r="A34" s="2" t="s">
        <v>130</v>
      </c>
      <c r="B34" s="2" t="s">
        <v>161</v>
      </c>
      <c r="C34" s="3" t="s">
        <v>162</v>
      </c>
      <c r="D34" s="2" t="s">
        <v>132</v>
      </c>
      <c r="E34" s="6" t="s">
        <v>27</v>
      </c>
      <c r="F34" s="2" t="s">
        <v>163</v>
      </c>
      <c r="G34" s="2" t="s">
        <v>164</v>
      </c>
    </row>
    <row r="35" customFormat="false" ht="15" hidden="false" customHeight="false" outlineLevel="0" collapsed="false">
      <c r="A35" s="2" t="s">
        <v>165</v>
      </c>
      <c r="B35" s="2" t="s">
        <v>166</v>
      </c>
      <c r="C35" s="3" t="s">
        <v>167</v>
      </c>
      <c r="D35" s="2" t="s">
        <v>168</v>
      </c>
      <c r="E35" s="9" t="s">
        <v>169</v>
      </c>
      <c r="F35" s="2" t="s">
        <v>170</v>
      </c>
      <c r="G35" s="2" t="s">
        <v>31</v>
      </c>
    </row>
    <row r="36" customFormat="false" ht="15" hidden="false" customHeight="false" outlineLevel="0" collapsed="false">
      <c r="A36" s="2" t="s">
        <v>165</v>
      </c>
      <c r="B36" s="2" t="s">
        <v>171</v>
      </c>
      <c r="C36" s="3" t="s">
        <v>31</v>
      </c>
      <c r="D36" s="2" t="s">
        <v>172</v>
      </c>
      <c r="E36" s="9" t="s">
        <v>169</v>
      </c>
      <c r="F36" s="2" t="s">
        <v>170</v>
      </c>
      <c r="G36" s="2" t="s">
        <v>31</v>
      </c>
    </row>
    <row r="38" customFormat="false" ht="15" hidden="false" customHeight="true" outlineLevel="0" collapsed="false">
      <c r="A38" s="10" t="s">
        <v>173</v>
      </c>
      <c r="B38" s="10"/>
      <c r="C38" s="10"/>
      <c r="D38" s="10"/>
      <c r="E38" s="10"/>
      <c r="F38" s="10"/>
      <c r="G38" s="10"/>
    </row>
    <row r="39" customFormat="false" ht="15" hidden="false" customHeight="false" outlineLevel="0" collapsed="false">
      <c r="A39" s="10"/>
      <c r="B39" s="10"/>
      <c r="C39" s="10"/>
      <c r="D39" s="10"/>
      <c r="E39" s="10"/>
      <c r="F39" s="10"/>
      <c r="G39" s="10"/>
    </row>
  </sheetData>
  <autoFilter ref="A1:G36"/>
  <mergeCells count="1">
    <mergeCell ref="A38:G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52"/>
    <col collapsed="false" customWidth="true" hidden="false" outlineLevel="0" max="4" min="4" style="0" width="14"/>
    <col collapsed="false" customWidth="true" hidden="false" outlineLevel="0" max="5" min="5" style="0" width="62"/>
    <col collapsed="false" customWidth="true" hidden="false" outlineLevel="0" max="6" min="6" style="0" width="22"/>
    <col collapsed="false" customWidth="true" hidden="false" outlineLevel="0" max="7" min="7" style="0" width="10"/>
    <col collapsed="false" customWidth="true" hidden="false" outlineLevel="0" max="8" min="8" style="0" width="13"/>
  </cols>
  <sheetData>
    <row r="1" customFormat="false" ht="27.75" hidden="false" customHeight="true" outlineLevel="0" collapsed="false">
      <c r="A1" s="1" t="s">
        <v>1</v>
      </c>
      <c r="B1" s="1" t="s">
        <v>2</v>
      </c>
      <c r="C1" s="1" t="s">
        <v>174</v>
      </c>
      <c r="D1" s="1" t="s">
        <v>4</v>
      </c>
      <c r="E1" s="1" t="s">
        <v>175</v>
      </c>
      <c r="F1" s="1" t="s">
        <v>6</v>
      </c>
      <c r="G1" s="1" t="s">
        <v>176</v>
      </c>
      <c r="H1" s="1" t="s">
        <v>177</v>
      </c>
    </row>
    <row r="2" customFormat="false" ht="35.05" hidden="false" customHeight="false" outlineLevel="0" collapsed="false">
      <c r="A2" s="2" t="s">
        <v>8</v>
      </c>
      <c r="B2" s="2" t="s">
        <v>178</v>
      </c>
      <c r="C2" s="2" t="s">
        <v>179</v>
      </c>
      <c r="D2" s="4" t="s">
        <v>11</v>
      </c>
      <c r="E2" s="2" t="s">
        <v>180</v>
      </c>
      <c r="F2" s="2" t="s">
        <v>181</v>
      </c>
      <c r="G2" s="2" t="s">
        <v>182</v>
      </c>
      <c r="H2" s="2" t="s">
        <v>183</v>
      </c>
    </row>
    <row r="3" customFormat="false" ht="23.85" hidden="false" customHeight="false" outlineLevel="0" collapsed="false">
      <c r="A3" s="2" t="s">
        <v>14</v>
      </c>
      <c r="B3" s="2" t="s">
        <v>184</v>
      </c>
      <c r="C3" s="2" t="s">
        <v>185</v>
      </c>
      <c r="D3" s="5" t="s">
        <v>17</v>
      </c>
      <c r="E3" s="2" t="s">
        <v>186</v>
      </c>
      <c r="F3" s="2" t="s">
        <v>187</v>
      </c>
      <c r="G3" s="2" t="s">
        <v>182</v>
      </c>
      <c r="H3" s="2" t="s">
        <v>183</v>
      </c>
    </row>
    <row r="4" customFormat="false" ht="46.25" hidden="false" customHeight="false" outlineLevel="0" collapsed="false">
      <c r="A4" s="2" t="s">
        <v>20</v>
      </c>
      <c r="B4" s="2" t="s">
        <v>188</v>
      </c>
      <c r="C4" s="2" t="s">
        <v>189</v>
      </c>
      <c r="D4" s="4" t="s">
        <v>11</v>
      </c>
      <c r="E4" s="2" t="s">
        <v>190</v>
      </c>
      <c r="F4" s="2" t="s">
        <v>23</v>
      </c>
      <c r="G4" s="2" t="s">
        <v>182</v>
      </c>
      <c r="H4" s="2" t="s">
        <v>183</v>
      </c>
    </row>
    <row r="5" customFormat="false" ht="35.05" hidden="false" customHeight="false" outlineLevel="0" collapsed="false">
      <c r="A5" s="2" t="s">
        <v>24</v>
      </c>
      <c r="B5" s="2" t="s">
        <v>191</v>
      </c>
      <c r="C5" s="2" t="s">
        <v>192</v>
      </c>
      <c r="D5" s="6" t="s">
        <v>27</v>
      </c>
      <c r="E5" s="2" t="s">
        <v>193</v>
      </c>
      <c r="F5" s="2" t="s">
        <v>194</v>
      </c>
      <c r="G5" s="2" t="s">
        <v>182</v>
      </c>
      <c r="H5" s="2" t="s">
        <v>183</v>
      </c>
    </row>
    <row r="6" customFormat="false" ht="35.05" hidden="false" customHeight="false" outlineLevel="0" collapsed="false">
      <c r="A6" s="2" t="s">
        <v>195</v>
      </c>
      <c r="B6" s="2" t="s">
        <v>196</v>
      </c>
      <c r="C6" s="2" t="s">
        <v>197</v>
      </c>
      <c r="D6" s="7" t="s">
        <v>33</v>
      </c>
      <c r="E6" s="2" t="s">
        <v>198</v>
      </c>
      <c r="F6" s="2" t="s">
        <v>31</v>
      </c>
      <c r="G6" s="2" t="s">
        <v>182</v>
      </c>
      <c r="H6" s="2" t="s">
        <v>183</v>
      </c>
    </row>
    <row r="7" customFormat="false" ht="23.85" hidden="false" customHeight="false" outlineLevel="0" collapsed="false">
      <c r="A7" s="2" t="s">
        <v>199</v>
      </c>
      <c r="B7" s="2" t="s">
        <v>200</v>
      </c>
      <c r="C7" s="2" t="s">
        <v>201</v>
      </c>
      <c r="D7" s="6" t="s">
        <v>27</v>
      </c>
      <c r="E7" s="2" t="s">
        <v>202</v>
      </c>
      <c r="F7" s="2" t="s">
        <v>203</v>
      </c>
      <c r="G7" s="2" t="s">
        <v>204</v>
      </c>
      <c r="H7" s="2" t="s">
        <v>183</v>
      </c>
    </row>
    <row r="8" customFormat="false" ht="23.85" hidden="false" customHeight="false" outlineLevel="0" collapsed="false">
      <c r="A8" s="2" t="s">
        <v>205</v>
      </c>
      <c r="B8" s="2" t="s">
        <v>206</v>
      </c>
      <c r="C8" s="2" t="s">
        <v>207</v>
      </c>
      <c r="D8" s="6" t="s">
        <v>27</v>
      </c>
      <c r="E8" s="2" t="s">
        <v>208</v>
      </c>
      <c r="F8" s="2" t="s">
        <v>209</v>
      </c>
      <c r="G8" s="2" t="s">
        <v>204</v>
      </c>
      <c r="H8" s="2" t="s">
        <v>183</v>
      </c>
    </row>
    <row r="9" customFormat="false" ht="23.85" hidden="false" customHeight="false" outlineLevel="0" collapsed="false">
      <c r="A9" s="2" t="s">
        <v>57</v>
      </c>
      <c r="B9" s="2" t="s">
        <v>210</v>
      </c>
      <c r="C9" s="2" t="s">
        <v>211</v>
      </c>
      <c r="D9" s="6" t="s">
        <v>27</v>
      </c>
      <c r="E9" s="2" t="s">
        <v>212</v>
      </c>
      <c r="F9" s="2" t="s">
        <v>61</v>
      </c>
      <c r="G9" s="2" t="s">
        <v>204</v>
      </c>
      <c r="H9" s="2" t="s">
        <v>183</v>
      </c>
    </row>
    <row r="10" customFormat="false" ht="23.85" hidden="false" customHeight="false" outlineLevel="0" collapsed="false">
      <c r="A10" s="2" t="s">
        <v>30</v>
      </c>
      <c r="B10" s="2" t="s">
        <v>31</v>
      </c>
      <c r="C10" s="2" t="s">
        <v>213</v>
      </c>
      <c r="D10" s="7" t="s">
        <v>33</v>
      </c>
      <c r="E10" s="2" t="s">
        <v>214</v>
      </c>
      <c r="F10" s="2" t="s">
        <v>31</v>
      </c>
      <c r="G10" s="2" t="s">
        <v>215</v>
      </c>
      <c r="H10" s="2" t="s">
        <v>183</v>
      </c>
    </row>
    <row r="11" customFormat="false" ht="23.85" hidden="false" customHeight="false" outlineLevel="0" collapsed="false">
      <c r="A11" s="2" t="s">
        <v>62</v>
      </c>
      <c r="B11" s="2" t="s">
        <v>216</v>
      </c>
      <c r="C11" s="2" t="s">
        <v>217</v>
      </c>
      <c r="D11" s="5" t="s">
        <v>17</v>
      </c>
      <c r="E11" s="2" t="s">
        <v>218</v>
      </c>
      <c r="F11" s="2" t="s">
        <v>31</v>
      </c>
      <c r="G11" s="2" t="s">
        <v>215</v>
      </c>
      <c r="H11" s="2" t="s">
        <v>183</v>
      </c>
    </row>
    <row r="12" customFormat="false" ht="35.05" hidden="false" customHeight="false" outlineLevel="0" collapsed="false">
      <c r="A12" s="2" t="s">
        <v>67</v>
      </c>
      <c r="B12" s="2" t="s">
        <v>219</v>
      </c>
      <c r="C12" s="2" t="s">
        <v>220</v>
      </c>
      <c r="D12" s="8" t="s">
        <v>54</v>
      </c>
      <c r="E12" s="2" t="s">
        <v>221</v>
      </c>
      <c r="F12" s="2" t="s">
        <v>71</v>
      </c>
      <c r="G12" s="2" t="s">
        <v>215</v>
      </c>
      <c r="H12" s="2" t="s">
        <v>183</v>
      </c>
    </row>
    <row r="13" customFormat="false" ht="35.05" hidden="false" customHeight="false" outlineLevel="0" collapsed="false">
      <c r="A13" s="2" t="s">
        <v>72</v>
      </c>
      <c r="B13" s="2" t="s">
        <v>222</v>
      </c>
      <c r="C13" s="2" t="s">
        <v>223</v>
      </c>
      <c r="D13" s="6" t="s">
        <v>27</v>
      </c>
      <c r="E13" s="2" t="s">
        <v>224</v>
      </c>
      <c r="F13" s="2" t="s">
        <v>225</v>
      </c>
      <c r="G13" s="2" t="s">
        <v>215</v>
      </c>
      <c r="H13" s="2" t="s">
        <v>183</v>
      </c>
    </row>
    <row r="14" customFormat="false" ht="23.85" hidden="false" customHeight="false" outlineLevel="0" collapsed="false">
      <c r="A14" s="2" t="s">
        <v>226</v>
      </c>
      <c r="B14" s="2" t="s">
        <v>227</v>
      </c>
      <c r="C14" s="2" t="s">
        <v>228</v>
      </c>
      <c r="D14" s="7" t="s">
        <v>33</v>
      </c>
      <c r="E14" s="2" t="s">
        <v>229</v>
      </c>
      <c r="F14" s="2" t="s">
        <v>81</v>
      </c>
      <c r="G14" s="2" t="s">
        <v>215</v>
      </c>
      <c r="H14" s="2" t="s">
        <v>183</v>
      </c>
    </row>
    <row r="15" customFormat="false" ht="23.85" hidden="false" customHeight="false" outlineLevel="0" collapsed="false">
      <c r="A15" s="2" t="s">
        <v>230</v>
      </c>
      <c r="B15" s="2" t="s">
        <v>31</v>
      </c>
      <c r="C15" s="2" t="s">
        <v>132</v>
      </c>
      <c r="D15" s="6" t="s">
        <v>27</v>
      </c>
      <c r="E15" s="2" t="s">
        <v>231</v>
      </c>
      <c r="F15" s="2" t="s">
        <v>31</v>
      </c>
      <c r="G15" s="2" t="s">
        <v>215</v>
      </c>
      <c r="H15" s="2" t="s">
        <v>232</v>
      </c>
    </row>
    <row r="16" customFormat="false" ht="23.85" hidden="false" customHeight="false" outlineLevel="0" collapsed="false">
      <c r="A16" s="2" t="s">
        <v>233</v>
      </c>
      <c r="B16" s="2" t="s">
        <v>234</v>
      </c>
      <c r="C16" s="2" t="s">
        <v>235</v>
      </c>
      <c r="D16" s="8" t="s">
        <v>54</v>
      </c>
      <c r="E16" s="2" t="s">
        <v>236</v>
      </c>
      <c r="F16" s="2" t="s">
        <v>237</v>
      </c>
      <c r="G16" s="2" t="s">
        <v>238</v>
      </c>
      <c r="H16" s="2" t="s">
        <v>232</v>
      </c>
    </row>
    <row r="17" customFormat="false" ht="23.85" hidden="false" customHeight="false" outlineLevel="0" collapsed="false">
      <c r="A17" s="2" t="s">
        <v>239</v>
      </c>
      <c r="B17" s="2" t="s">
        <v>240</v>
      </c>
      <c r="C17" s="2" t="s">
        <v>241</v>
      </c>
      <c r="D17" s="8" t="s">
        <v>54</v>
      </c>
      <c r="E17" s="2" t="s">
        <v>242</v>
      </c>
      <c r="F17" s="2" t="s">
        <v>243</v>
      </c>
      <c r="G17" s="2" t="s">
        <v>244</v>
      </c>
      <c r="H17" s="2" t="s">
        <v>232</v>
      </c>
    </row>
    <row r="18" customFormat="false" ht="23.85" hidden="false" customHeight="false" outlineLevel="0" collapsed="false">
      <c r="A18" s="2" t="s">
        <v>245</v>
      </c>
      <c r="B18" s="2" t="s">
        <v>246</v>
      </c>
      <c r="C18" s="2" t="s">
        <v>247</v>
      </c>
      <c r="D18" s="5" t="s">
        <v>17</v>
      </c>
      <c r="E18" s="2" t="s">
        <v>248</v>
      </c>
      <c r="F18" s="2" t="s">
        <v>31</v>
      </c>
      <c r="G18" s="2" t="s">
        <v>238</v>
      </c>
      <c r="H18" s="2" t="s">
        <v>183</v>
      </c>
    </row>
    <row r="19" customFormat="false" ht="23.85" hidden="false" customHeight="false" outlineLevel="0" collapsed="false">
      <c r="A19" s="2" t="s">
        <v>134</v>
      </c>
      <c r="B19" s="2" t="s">
        <v>135</v>
      </c>
      <c r="C19" s="2" t="s">
        <v>249</v>
      </c>
      <c r="D19" s="6" t="s">
        <v>27</v>
      </c>
      <c r="E19" s="2" t="s">
        <v>250</v>
      </c>
      <c r="F19" s="2" t="s">
        <v>138</v>
      </c>
      <c r="G19" s="2" t="s">
        <v>215</v>
      </c>
      <c r="H19" s="2" t="s">
        <v>232</v>
      </c>
    </row>
    <row r="20" customFormat="false" ht="23.85" hidden="false" customHeight="false" outlineLevel="0" collapsed="false">
      <c r="A20" s="2" t="s">
        <v>139</v>
      </c>
      <c r="B20" s="2" t="s">
        <v>251</v>
      </c>
      <c r="C20" s="2" t="s">
        <v>252</v>
      </c>
      <c r="D20" s="6" t="s">
        <v>27</v>
      </c>
      <c r="E20" s="2" t="s">
        <v>253</v>
      </c>
      <c r="F20" s="2" t="s">
        <v>254</v>
      </c>
      <c r="G20" s="2" t="s">
        <v>215</v>
      </c>
      <c r="H20" s="2" t="s">
        <v>232</v>
      </c>
    </row>
    <row r="21" customFormat="false" ht="15" hidden="false" customHeight="false" outlineLevel="0" collapsed="false">
      <c r="A21" s="2" t="s">
        <v>255</v>
      </c>
      <c r="B21" s="2" t="s">
        <v>31</v>
      </c>
      <c r="C21" s="2" t="s">
        <v>132</v>
      </c>
      <c r="D21" s="5" t="s">
        <v>17</v>
      </c>
      <c r="E21" s="2" t="s">
        <v>256</v>
      </c>
      <c r="F21" s="2" t="s">
        <v>31</v>
      </c>
      <c r="G21" s="2" t="s">
        <v>257</v>
      </c>
      <c r="H21" s="2" t="s">
        <v>232</v>
      </c>
    </row>
    <row r="23" customFormat="false" ht="15" hidden="false" customHeight="true" outlineLevel="0" collapsed="false">
      <c r="A23" s="10" t="s">
        <v>258</v>
      </c>
      <c r="B23" s="10"/>
      <c r="C23" s="10"/>
      <c r="D23" s="10"/>
      <c r="E23" s="10"/>
      <c r="F23" s="10"/>
      <c r="G23" s="10"/>
      <c r="H23" s="10"/>
    </row>
    <row r="24" customFormat="false" ht="15" hidden="false" customHeight="false" outlineLevel="0" collapsed="false">
      <c r="A24" s="10"/>
      <c r="B24" s="10"/>
      <c r="C24" s="10"/>
      <c r="D24" s="10"/>
      <c r="E24" s="10"/>
      <c r="F24" s="10"/>
      <c r="G24" s="10"/>
      <c r="H24" s="10"/>
    </row>
  </sheetData>
  <autoFilter ref="A1:H21"/>
  <mergeCells count="1">
    <mergeCell ref="A23: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6"/>
    <col collapsed="false" customWidth="true" hidden="false" outlineLevel="0" max="3" min="3" style="0" width="22"/>
    <col collapsed="false" customWidth="true" hidden="false" outlineLevel="0" max="4" min="4" style="0" width="80"/>
  </cols>
  <sheetData>
    <row r="1" customFormat="false" ht="27.75" hidden="false" customHeight="true" outlineLevel="0" collapsed="false">
      <c r="A1" s="1" t="s">
        <v>259</v>
      </c>
      <c r="B1" s="1" t="s">
        <v>6</v>
      </c>
      <c r="C1" s="1" t="s">
        <v>260</v>
      </c>
      <c r="D1" s="1" t="s">
        <v>261</v>
      </c>
    </row>
    <row r="2" customFormat="false" ht="23.85" hidden="false" customHeight="false" outlineLevel="0" collapsed="false">
      <c r="A2" s="2" t="s">
        <v>82</v>
      </c>
      <c r="B2" s="2" t="s">
        <v>262</v>
      </c>
      <c r="C2" s="9" t="s">
        <v>263</v>
      </c>
      <c r="D2" s="2" t="s">
        <v>264</v>
      </c>
    </row>
    <row r="3" customFormat="false" ht="23.85" hidden="false" customHeight="false" outlineLevel="0" collapsed="false">
      <c r="A3" s="2" t="s">
        <v>265</v>
      </c>
      <c r="B3" s="2" t="s">
        <v>266</v>
      </c>
      <c r="C3" s="9" t="s">
        <v>267</v>
      </c>
      <c r="D3" s="2" t="s">
        <v>268</v>
      </c>
    </row>
    <row r="4" customFormat="false" ht="23.85" hidden="false" customHeight="false" outlineLevel="0" collapsed="false">
      <c r="A4" s="2" t="s">
        <v>146</v>
      </c>
      <c r="B4" s="2" t="s">
        <v>269</v>
      </c>
      <c r="C4" s="9" t="s">
        <v>267</v>
      </c>
      <c r="D4" s="2" t="s">
        <v>270</v>
      </c>
    </row>
    <row r="5" customFormat="false" ht="35.05" hidden="false" customHeight="false" outlineLevel="0" collapsed="false">
      <c r="A5" s="2" t="s">
        <v>271</v>
      </c>
      <c r="B5" s="2" t="s">
        <v>272</v>
      </c>
      <c r="C5" s="9" t="s">
        <v>273</v>
      </c>
      <c r="D5" s="2" t="s">
        <v>274</v>
      </c>
    </row>
    <row r="6" customFormat="false" ht="23.85" hidden="false" customHeight="false" outlineLevel="0" collapsed="false">
      <c r="A6" s="2" t="s">
        <v>120</v>
      </c>
      <c r="B6" s="2" t="s">
        <v>124</v>
      </c>
      <c r="C6" s="9" t="s">
        <v>275</v>
      </c>
      <c r="D6" s="2" t="s">
        <v>276</v>
      </c>
    </row>
    <row r="7" customFormat="false" ht="23.85" hidden="false" customHeight="false" outlineLevel="0" collapsed="false">
      <c r="A7" s="2" t="s">
        <v>277</v>
      </c>
      <c r="B7" s="2" t="s">
        <v>278</v>
      </c>
      <c r="C7" s="9" t="s">
        <v>279</v>
      </c>
      <c r="D7" s="2" t="s">
        <v>280</v>
      </c>
    </row>
    <row r="8" customFormat="false" ht="15" hidden="false" customHeight="false" outlineLevel="0" collapsed="false">
      <c r="A8" s="2" t="s">
        <v>281</v>
      </c>
      <c r="B8" s="2" t="s">
        <v>282</v>
      </c>
      <c r="C8" s="11" t="s">
        <v>283</v>
      </c>
      <c r="D8" s="2" t="s">
        <v>284</v>
      </c>
    </row>
    <row r="9" customFormat="false" ht="15" hidden="false" customHeight="false" outlineLevel="0" collapsed="false">
      <c r="A9" s="2" t="s">
        <v>285</v>
      </c>
      <c r="B9" s="2" t="s">
        <v>286</v>
      </c>
      <c r="C9" s="11" t="s">
        <v>287</v>
      </c>
      <c r="D9" s="2" t="s">
        <v>288</v>
      </c>
    </row>
    <row r="10" customFormat="false" ht="15" hidden="false" customHeight="false" outlineLevel="0" collapsed="false">
      <c r="A10" s="2" t="s">
        <v>107</v>
      </c>
      <c r="B10" s="2" t="s">
        <v>289</v>
      </c>
      <c r="C10" s="11" t="s">
        <v>290</v>
      </c>
      <c r="D10" s="2" t="s">
        <v>291</v>
      </c>
    </row>
    <row r="11" customFormat="false" ht="15" hidden="false" customHeight="false" outlineLevel="0" collapsed="false">
      <c r="A11" s="2" t="s">
        <v>292</v>
      </c>
      <c r="B11" s="2" t="s">
        <v>102</v>
      </c>
      <c r="C11" s="11" t="s">
        <v>290</v>
      </c>
      <c r="D11" s="2" t="s">
        <v>293</v>
      </c>
    </row>
    <row r="12" customFormat="false" ht="23.85" hidden="false" customHeight="false" outlineLevel="0" collapsed="false">
      <c r="A12" s="2" t="s">
        <v>294</v>
      </c>
      <c r="B12" s="2" t="s">
        <v>115</v>
      </c>
      <c r="C12" s="11" t="s">
        <v>295</v>
      </c>
      <c r="D12" s="2" t="s">
        <v>296</v>
      </c>
    </row>
    <row r="13" customFormat="false" ht="23.85" hidden="false" customHeight="false" outlineLevel="0" collapsed="false">
      <c r="A13" s="2" t="s">
        <v>94</v>
      </c>
      <c r="B13" s="2" t="s">
        <v>297</v>
      </c>
      <c r="C13" s="11" t="s">
        <v>298</v>
      </c>
      <c r="D13" s="2" t="s">
        <v>299</v>
      </c>
    </row>
    <row r="14" customFormat="false" ht="23.85" hidden="false" customHeight="false" outlineLevel="0" collapsed="false">
      <c r="A14" s="2" t="s">
        <v>90</v>
      </c>
      <c r="B14" s="2" t="s">
        <v>138</v>
      </c>
      <c r="C14" s="11" t="s">
        <v>298</v>
      </c>
      <c r="D14" s="2" t="s">
        <v>300</v>
      </c>
    </row>
    <row r="15" customFormat="false" ht="23.85" hidden="false" customHeight="false" outlineLevel="0" collapsed="false">
      <c r="A15" s="2" t="s">
        <v>161</v>
      </c>
      <c r="B15" s="2" t="s">
        <v>301</v>
      </c>
      <c r="C15" s="11" t="s">
        <v>302</v>
      </c>
      <c r="D15" s="2" t="s">
        <v>303</v>
      </c>
    </row>
    <row r="17" customFormat="false" ht="15" hidden="false" customHeight="true" outlineLevel="0" collapsed="false">
      <c r="A17" s="10" t="s">
        <v>304</v>
      </c>
      <c r="B17" s="10"/>
      <c r="C17" s="10"/>
      <c r="D17" s="10"/>
    </row>
    <row r="18" customFormat="false" ht="15" hidden="false" customHeight="false" outlineLevel="0" collapsed="false">
      <c r="A18" s="10"/>
      <c r="B18" s="10"/>
      <c r="C18" s="10"/>
      <c r="D18" s="10"/>
    </row>
  </sheetData>
  <mergeCells count="1">
    <mergeCell ref="A17: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90"/>
  </cols>
  <sheetData>
    <row r="1" customFormat="false" ht="15" hidden="false" customHeight="false" outlineLevel="0" collapsed="false">
      <c r="A1" s="12" t="s">
        <v>305</v>
      </c>
    </row>
    <row r="3" customFormat="false" ht="15" hidden="false" customHeight="false" outlineLevel="0" collapsed="false">
      <c r="A3" s="13" t="s">
        <v>306</v>
      </c>
    </row>
    <row r="4" customFormat="false" ht="15" hidden="false" customHeight="false" outlineLevel="0" collapsed="false">
      <c r="A4" s="14" t="s">
        <v>307</v>
      </c>
      <c r="B4" s="15" t="n">
        <v>269</v>
      </c>
    </row>
    <row r="5" customFormat="false" ht="15" hidden="false" customHeight="false" outlineLevel="0" collapsed="false">
      <c r="A5" s="14" t="s">
        <v>308</v>
      </c>
      <c r="B5" s="15" t="n">
        <v>269</v>
      </c>
    </row>
    <row r="6" customFormat="false" ht="15" hidden="false" customHeight="false" outlineLevel="0" collapsed="false">
      <c r="A6" s="14" t="s">
        <v>309</v>
      </c>
      <c r="B6" s="15" t="n">
        <v>83</v>
      </c>
    </row>
    <row r="7" customFormat="false" ht="15" hidden="false" customHeight="false" outlineLevel="0" collapsed="false">
      <c r="A7" s="14" t="s">
        <v>310</v>
      </c>
      <c r="B7" s="15" t="n">
        <v>28</v>
      </c>
    </row>
    <row r="8" customFormat="false" ht="23.85" hidden="false" customHeight="false" outlineLevel="0" collapsed="false">
      <c r="A8" s="14" t="s">
        <v>311</v>
      </c>
      <c r="C8" s="16" t="s">
        <v>312</v>
      </c>
    </row>
    <row r="10" customFormat="false" ht="15" hidden="false" customHeight="false" outlineLevel="0" collapsed="false">
      <c r="A10" s="13" t="s">
        <v>313</v>
      </c>
    </row>
    <row r="11" customFormat="false" ht="15" hidden="false" customHeight="false" outlineLevel="0" collapsed="false">
      <c r="A11" s="17" t="s">
        <v>314</v>
      </c>
      <c r="B11" s="17" t="s">
        <v>176</v>
      </c>
      <c r="C11" s="17" t="s">
        <v>261</v>
      </c>
    </row>
    <row r="12" customFormat="false" ht="15" hidden="false" customHeight="false" outlineLevel="0" collapsed="false">
      <c r="A12" s="2" t="s">
        <v>315</v>
      </c>
      <c r="B12" s="2" t="s">
        <v>316</v>
      </c>
      <c r="C12" s="2" t="s">
        <v>317</v>
      </c>
    </row>
    <row r="13" customFormat="false" ht="23.85" hidden="false" customHeight="false" outlineLevel="0" collapsed="false">
      <c r="A13" s="2" t="s">
        <v>318</v>
      </c>
      <c r="B13" s="2" t="s">
        <v>319</v>
      </c>
      <c r="C13" s="2" t="s">
        <v>320</v>
      </c>
    </row>
    <row r="14" customFormat="false" ht="15" hidden="false" customHeight="false" outlineLevel="0" collapsed="false">
      <c r="A14" s="2" t="s">
        <v>116</v>
      </c>
      <c r="B14" s="2" t="s">
        <v>321</v>
      </c>
      <c r="C14" s="2" t="s">
        <v>322</v>
      </c>
    </row>
    <row r="15" customFormat="false" ht="15" hidden="false" customHeight="false" outlineLevel="0" collapsed="false">
      <c r="A15" s="2" t="s">
        <v>323</v>
      </c>
      <c r="B15" s="2" t="s">
        <v>321</v>
      </c>
      <c r="C15" s="2" t="s">
        <v>324</v>
      </c>
    </row>
    <row r="16" customFormat="false" ht="15" hidden="false" customHeight="false" outlineLevel="0" collapsed="false">
      <c r="A16" s="2" t="s">
        <v>325</v>
      </c>
      <c r="B16" s="2" t="s">
        <v>326</v>
      </c>
      <c r="C16" s="2" t="s">
        <v>327</v>
      </c>
    </row>
    <row r="17" customFormat="false" ht="15" hidden="false" customHeight="false" outlineLevel="0" collapsed="false">
      <c r="A17" s="2" t="s">
        <v>315</v>
      </c>
      <c r="B17" s="2" t="s">
        <v>328</v>
      </c>
      <c r="C17" s="2" t="s">
        <v>329</v>
      </c>
    </row>
    <row r="19" customFormat="false" ht="15" hidden="false" customHeight="false" outlineLevel="0" collapsed="false">
      <c r="A19" s="13" t="s">
        <v>330</v>
      </c>
    </row>
    <row r="20" customFormat="false" ht="15" hidden="false" customHeight="false" outlineLevel="0" collapsed="false">
      <c r="A20" s="14" t="s">
        <v>331</v>
      </c>
    </row>
    <row r="21" customFormat="false" ht="15" hidden="false" customHeight="false" outlineLevel="0" collapsed="false">
      <c r="A21" s="14" t="s">
        <v>332</v>
      </c>
    </row>
    <row r="22" customFormat="false" ht="15" hidden="false" customHeight="false" outlineLevel="0" collapsed="false">
      <c r="A22" s="14" t="s">
        <v>333</v>
      </c>
    </row>
    <row r="23" customFormat="false" ht="15" hidden="false" customHeight="false" outlineLevel="0" collapsed="false">
      <c r="A23" s="14" t="s">
        <v>334</v>
      </c>
    </row>
    <row r="24" customFormat="false" ht="15" hidden="false" customHeight="false" outlineLevel="0" collapsed="false">
      <c r="A24" s="14" t="s">
        <v>335</v>
      </c>
    </row>
    <row r="25" customFormat="false" ht="15" hidden="false" customHeight="false" outlineLevel="0" collapsed="false">
      <c r="A25" s="14" t="s">
        <v>336</v>
      </c>
    </row>
    <row r="26" customFormat="false" ht="15" hidden="false" customHeight="false" outlineLevel="0" collapsed="false">
      <c r="A26" s="14" t="s">
        <v>337</v>
      </c>
    </row>
    <row r="28" customFormat="false" ht="15" hidden="false" customHeight="false" outlineLevel="0" collapsed="false">
      <c r="A28" s="13" t="s">
        <v>338</v>
      </c>
    </row>
    <row r="29" customFormat="false" ht="15" hidden="false" customHeight="false" outlineLevel="0" collapsed="false">
      <c r="A29" s="14" t="s">
        <v>339</v>
      </c>
    </row>
    <row r="30" customFormat="false" ht="15" hidden="false" customHeight="false" outlineLevel="0" collapsed="false">
      <c r="A30" s="14" t="s">
        <v>340</v>
      </c>
    </row>
    <row r="31" customFormat="false" ht="15" hidden="false" customHeight="false" outlineLevel="0" collapsed="false">
      <c r="A31" s="14" t="s">
        <v>341</v>
      </c>
    </row>
    <row r="32" customFormat="false" ht="15" hidden="false" customHeight="false" outlineLevel="0" collapsed="false">
      <c r="A32" s="14" t="s">
        <v>342</v>
      </c>
    </row>
    <row r="33" customFormat="false" ht="15" hidden="false" customHeight="false" outlineLevel="0" collapsed="false">
      <c r="A33" s="14" t="s">
        <v>343</v>
      </c>
    </row>
    <row r="34" customFormat="false" ht="15" hidden="false" customHeight="false" outlineLevel="0" collapsed="false">
      <c r="A34" s="14" t="s">
        <v>344</v>
      </c>
    </row>
    <row r="36" customFormat="false" ht="15" hidden="false" customHeight="false" outlineLevel="0" collapsed="false">
      <c r="A36" s="13" t="s">
        <v>345</v>
      </c>
    </row>
    <row r="37" customFormat="false" ht="15" hidden="false" customHeight="false" outlineLevel="0" collapsed="false">
      <c r="A37" s="14" t="s">
        <v>346</v>
      </c>
      <c r="C37" s="16" t="s">
        <v>347</v>
      </c>
    </row>
    <row r="39" customFormat="false" ht="15" hidden="false" customHeight="false" outlineLevel="0" collapsed="false">
      <c r="A39" s="13" t="s">
        <v>348</v>
      </c>
    </row>
    <row r="40" customFormat="false" ht="15" hidden="false" customHeight="false" outlineLevel="0" collapsed="false">
      <c r="A40" s="14" t="s">
        <v>349</v>
      </c>
      <c r="C40" s="16" t="s">
        <v>350</v>
      </c>
    </row>
    <row r="42" customFormat="false" ht="15" hidden="false" customHeight="false" outlineLevel="0" collapsed="false">
      <c r="A42" s="18" t="s">
        <v>351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3" min="3" style="0" width="80"/>
  </cols>
  <sheetData>
    <row r="1" customFormat="false" ht="15" hidden="false" customHeight="false" outlineLevel="0" collapsed="false">
      <c r="A1" s="12" t="s">
        <v>352</v>
      </c>
    </row>
    <row r="3" customFormat="false" ht="15" hidden="false" customHeight="false" outlineLevel="0" collapsed="false">
      <c r="A3" s="17" t="s">
        <v>353</v>
      </c>
      <c r="B3" s="17" t="s">
        <v>314</v>
      </c>
      <c r="C3" s="17" t="s">
        <v>354</v>
      </c>
    </row>
    <row r="4" customFormat="false" ht="15" hidden="false" customHeight="true" outlineLevel="0" collapsed="false">
      <c r="A4" s="19" t="s">
        <v>355</v>
      </c>
      <c r="B4" s="2" t="s">
        <v>72</v>
      </c>
      <c r="C4" s="2" t="s">
        <v>356</v>
      </c>
    </row>
    <row r="5" customFormat="false" ht="15" hidden="false" customHeight="false" outlineLevel="0" collapsed="false">
      <c r="A5" s="19"/>
      <c r="B5" s="2" t="s">
        <v>120</v>
      </c>
      <c r="C5" s="2"/>
    </row>
    <row r="6" customFormat="false" ht="15" hidden="false" customHeight="false" outlineLevel="0" collapsed="false">
      <c r="A6" s="19"/>
      <c r="B6" s="2" t="s">
        <v>90</v>
      </c>
      <c r="C6" s="2"/>
    </row>
    <row r="7" customFormat="false" ht="15" hidden="false" customHeight="false" outlineLevel="0" collapsed="false">
      <c r="A7" s="19"/>
      <c r="B7" s="2" t="s">
        <v>57</v>
      </c>
      <c r="C7" s="2"/>
    </row>
    <row r="8" customFormat="false" ht="15" hidden="false" customHeight="false" outlineLevel="0" collapsed="false">
      <c r="A8" s="19"/>
      <c r="B8" s="2" t="s">
        <v>46</v>
      </c>
      <c r="C8" s="2"/>
    </row>
    <row r="9" customFormat="false" ht="15" hidden="false" customHeight="false" outlineLevel="0" collapsed="false">
      <c r="A9" s="19"/>
      <c r="B9" s="2" t="s">
        <v>134</v>
      </c>
      <c r="C9" s="2"/>
    </row>
    <row r="10" customFormat="false" ht="15" hidden="false" customHeight="false" outlineLevel="0" collapsed="false">
      <c r="A10" s="19"/>
      <c r="B10" s="2" t="s">
        <v>341</v>
      </c>
      <c r="C10" s="2"/>
    </row>
    <row r="11" customFormat="false" ht="15" hidden="false" customHeight="false" outlineLevel="0" collapsed="false">
      <c r="A11" s="19"/>
      <c r="B11" s="2" t="s">
        <v>161</v>
      </c>
      <c r="C11" s="2"/>
    </row>
    <row r="12" customFormat="false" ht="15" hidden="false" customHeight="true" outlineLevel="0" collapsed="false">
      <c r="A12" s="19" t="s">
        <v>357</v>
      </c>
      <c r="B12" s="2" t="s">
        <v>358</v>
      </c>
      <c r="C12" s="2" t="s">
        <v>359</v>
      </c>
    </row>
    <row r="13" customFormat="false" ht="15" hidden="false" customHeight="false" outlineLevel="0" collapsed="false">
      <c r="A13" s="19"/>
      <c r="B13" s="2" t="s">
        <v>67</v>
      </c>
      <c r="C13" s="2"/>
    </row>
    <row r="14" customFormat="false" ht="15" hidden="false" customHeight="false" outlineLevel="0" collapsed="false">
      <c r="A14" s="19"/>
      <c r="B14" s="2" t="s">
        <v>111</v>
      </c>
      <c r="C14" s="2"/>
    </row>
    <row r="15" customFormat="false" ht="15" hidden="false" customHeight="false" outlineLevel="0" collapsed="false">
      <c r="A15" s="19"/>
      <c r="B15" s="2" t="s">
        <v>265</v>
      </c>
      <c r="C15" s="2"/>
    </row>
    <row r="16" customFormat="false" ht="35.05" hidden="false" customHeight="false" outlineLevel="0" collapsed="false">
      <c r="A16" s="19" t="s">
        <v>360</v>
      </c>
      <c r="B16" s="2" t="s">
        <v>361</v>
      </c>
      <c r="C16" s="2" t="s">
        <v>362</v>
      </c>
    </row>
    <row r="18" customFormat="false" ht="15" hidden="false" customHeight="true" outlineLevel="0" collapsed="false">
      <c r="A18" s="10" t="s">
        <v>363</v>
      </c>
      <c r="B18" s="10"/>
      <c r="C18" s="10"/>
    </row>
    <row r="19" customFormat="false" ht="15" hidden="false" customHeight="false" outlineLevel="0" collapsed="false">
      <c r="A19" s="10"/>
      <c r="B19" s="10"/>
      <c r="C19" s="10"/>
    </row>
  </sheetData>
  <mergeCells count="5">
    <mergeCell ref="A4:A11"/>
    <mergeCell ref="C4:C11"/>
    <mergeCell ref="A12:A15"/>
    <mergeCell ref="C12:C15"/>
    <mergeCell ref="A18: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60"/>
  </cols>
  <sheetData>
    <row r="1" customFormat="false" ht="15" hidden="false" customHeight="false" outlineLevel="0" collapsed="false">
      <c r="A1" s="12" t="s">
        <v>364</v>
      </c>
    </row>
    <row r="3" customFormat="false" ht="15" hidden="false" customHeight="false" outlineLevel="0" collapsed="false">
      <c r="A3" s="17" t="s">
        <v>4</v>
      </c>
      <c r="B3" s="17" t="s">
        <v>365</v>
      </c>
      <c r="C3" s="17" t="s">
        <v>366</v>
      </c>
    </row>
    <row r="4" customFormat="false" ht="15" hidden="false" customHeight="false" outlineLevel="0" collapsed="false">
      <c r="A4" s="20" t="s">
        <v>27</v>
      </c>
      <c r="B4" s="21" t="n">
        <f aca="false">COUNTIF('Master Tracker (24 Dec)'!$E$2:$E$36,A4)</f>
        <v>11</v>
      </c>
    </row>
    <row r="5" customFormat="false" ht="15" hidden="false" customHeight="false" outlineLevel="0" collapsed="false">
      <c r="A5" s="22" t="s">
        <v>54</v>
      </c>
      <c r="B5" s="21" t="n">
        <f aca="false">COUNTIF('Master Tracker (24 Dec)'!$E$2:$E$36,A5)</f>
        <v>3</v>
      </c>
    </row>
    <row r="6" customFormat="false" ht="15" hidden="false" customHeight="false" outlineLevel="0" collapsed="false">
      <c r="A6" s="23" t="s">
        <v>11</v>
      </c>
      <c r="B6" s="21" t="n">
        <f aca="false">COUNTIF('Master Tracker (24 Dec)'!$E$2:$E$36,A6)</f>
        <v>2</v>
      </c>
    </row>
    <row r="7" customFormat="false" ht="15" hidden="false" customHeight="false" outlineLevel="0" collapsed="false">
      <c r="A7" s="24" t="s">
        <v>17</v>
      </c>
      <c r="B7" s="21" t="n">
        <f aca="false">COUNTIF('Master Tracker (24 Dec)'!$E$2:$E$36,A7)</f>
        <v>15</v>
      </c>
    </row>
    <row r="8" customFormat="false" ht="15" hidden="false" customHeight="false" outlineLevel="0" collapsed="false">
      <c r="A8" s="25" t="s">
        <v>33</v>
      </c>
      <c r="B8" s="21" t="n">
        <f aca="false">COUNTIF('Master Tracker (24 Dec)'!$E$2:$E$36,A8)</f>
        <v>2</v>
      </c>
    </row>
    <row r="9" customFormat="false" ht="15" hidden="false" customHeight="false" outlineLevel="0" collapsed="false">
      <c r="A9" s="21" t="s">
        <v>169</v>
      </c>
      <c r="B9" s="21" t="n">
        <f aca="false">COUNTIF('Master Tracker (24 Dec)'!$E$2:$E$36,A9)</f>
        <v>2</v>
      </c>
    </row>
    <row r="10" customFormat="false" ht="22.35" hidden="false" customHeight="false" outlineLevel="0" collapsed="false">
      <c r="A10" s="26" t="s">
        <v>367</v>
      </c>
      <c r="B10" s="26" t="n">
        <f aca="false">SUM(B4:B9)</f>
        <v>35</v>
      </c>
      <c r="C10" s="27" t="s">
        <v>368</v>
      </c>
    </row>
    <row r="12" customFormat="false" ht="15" hidden="false" customHeight="false" outlineLevel="0" collapsed="false">
      <c r="A12" s="13" t="s">
        <v>369</v>
      </c>
    </row>
    <row r="13" customFormat="false" ht="15" hidden="false" customHeight="false" outlineLevel="0" collapsed="false">
      <c r="A13" s="21" t="s">
        <v>7</v>
      </c>
      <c r="B13" s="21" t="n">
        <f aca="false">COUNTIF('Master Tracker (24 Dec)'!$A$2:$A$36,A13)</f>
        <v>7</v>
      </c>
    </row>
    <row r="14" customFormat="false" ht="15" hidden="false" customHeight="false" outlineLevel="0" collapsed="false">
      <c r="A14" s="21" t="s">
        <v>45</v>
      </c>
      <c r="B14" s="21" t="n">
        <f aca="false">COUNTIF('Master Tracker (24 Dec)'!$A$2:$A$36,A14)</f>
        <v>18</v>
      </c>
    </row>
    <row r="15" customFormat="false" ht="15" hidden="false" customHeight="false" outlineLevel="0" collapsed="false">
      <c r="A15" s="21" t="s">
        <v>130</v>
      </c>
      <c r="B15" s="21" t="n">
        <f aca="false">COUNTIF('Master Tracker (24 Dec)'!$A$2:$A$36,A15)</f>
        <v>8</v>
      </c>
    </row>
    <row r="16" customFormat="false" ht="15" hidden="false" customHeight="false" outlineLevel="0" collapsed="false">
      <c r="A16" s="21" t="s">
        <v>165</v>
      </c>
      <c r="B16" s="21" t="n">
        <f aca="false">COUNTIF('Master Tracker (24 Dec)'!$A$2:$A$36,A16)</f>
        <v>2</v>
      </c>
    </row>
    <row r="18" customFormat="false" ht="15" hidden="false" customHeight="false" outlineLevel="0" collapsed="false">
      <c r="A18" s="14" t="s">
        <v>370</v>
      </c>
      <c r="B18" s="14" t="n">
        <f aca="false">COUNTA('Meetings Log (23 Dec)'!$A$2:$A$21)</f>
        <v>20</v>
      </c>
      <c r="C18" s="18" t="s">
        <v>371</v>
      </c>
    </row>
    <row r="19" customFormat="false" ht="15" hidden="false" customHeight="false" outlineLevel="0" collapsed="false">
      <c r="A19" s="14" t="s">
        <v>372</v>
      </c>
      <c r="B19" s="14" t="n">
        <f aca="false">COUNTA('15-Day Report (08 Dec)'!$A$2:$A$15)</f>
        <v>14</v>
      </c>
      <c r="C19" s="18" t="s">
        <v>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95"/>
  </cols>
  <sheetData>
    <row r="1" customFormat="false" ht="15" hidden="false" customHeight="false" outlineLevel="0" collapsed="false">
      <c r="A1" s="12" t="s">
        <v>374</v>
      </c>
    </row>
    <row r="2" customFormat="false" ht="15" hidden="false" customHeight="false" outlineLevel="0" collapsed="false">
      <c r="A2" s="28" t="s">
        <v>375</v>
      </c>
      <c r="B2" s="28"/>
      <c r="C2" s="28"/>
    </row>
    <row r="4" customFormat="false" ht="15" hidden="false" customHeight="false" outlineLevel="0" collapsed="false">
      <c r="A4" s="17" t="s">
        <v>376</v>
      </c>
      <c r="B4" s="17" t="s">
        <v>377</v>
      </c>
      <c r="C4" s="17" t="s">
        <v>378</v>
      </c>
    </row>
    <row r="5" customFormat="false" ht="23.85" hidden="false" customHeight="false" outlineLevel="0" collapsed="false">
      <c r="A5" s="2" t="n">
        <v>1</v>
      </c>
      <c r="B5" s="29" t="s">
        <v>379</v>
      </c>
      <c r="C5" s="2" t="s">
        <v>380</v>
      </c>
    </row>
    <row r="6" customFormat="false" ht="15" hidden="false" customHeight="false" outlineLevel="0" collapsed="false">
      <c r="A6" s="2" t="n">
        <v>2</v>
      </c>
      <c r="B6" s="29" t="s">
        <v>379</v>
      </c>
      <c r="C6" s="2" t="s">
        <v>381</v>
      </c>
    </row>
    <row r="7" customFormat="false" ht="23.85" hidden="false" customHeight="false" outlineLevel="0" collapsed="false">
      <c r="A7" s="2" t="n">
        <v>3</v>
      </c>
      <c r="B7" s="29" t="s">
        <v>382</v>
      </c>
      <c r="C7" s="2" t="s">
        <v>383</v>
      </c>
    </row>
    <row r="8" customFormat="false" ht="23.85" hidden="false" customHeight="false" outlineLevel="0" collapsed="false">
      <c r="A8" s="2" t="n">
        <v>4</v>
      </c>
      <c r="B8" s="29" t="s">
        <v>384</v>
      </c>
      <c r="C8" s="2" t="s">
        <v>385</v>
      </c>
    </row>
    <row r="9" customFormat="false" ht="23.85" hidden="false" customHeight="false" outlineLevel="0" collapsed="false">
      <c r="A9" s="2" t="n">
        <v>5</v>
      </c>
      <c r="B9" s="29" t="s">
        <v>386</v>
      </c>
      <c r="C9" s="2" t="s">
        <v>387</v>
      </c>
    </row>
    <row r="10" customFormat="false" ht="15" hidden="false" customHeight="false" outlineLevel="0" collapsed="false">
      <c r="A10" s="2" t="n">
        <v>6</v>
      </c>
      <c r="B10" s="29" t="s">
        <v>388</v>
      </c>
      <c r="C10" s="2" t="s">
        <v>389</v>
      </c>
    </row>
    <row r="11" customFormat="false" ht="46.25" hidden="false" customHeight="false" outlineLevel="0" collapsed="false">
      <c r="A11" s="2" t="n">
        <v>7</v>
      </c>
      <c r="B11" s="29" t="s">
        <v>388</v>
      </c>
      <c r="C11" s="2" t="s">
        <v>390</v>
      </c>
    </row>
    <row r="12" customFormat="false" ht="15" hidden="false" customHeight="false" outlineLevel="0" collapsed="false">
      <c r="A12" s="2" t="n">
        <v>8</v>
      </c>
      <c r="B12" s="29" t="s">
        <v>391</v>
      </c>
      <c r="C12" s="2" t="s">
        <v>392</v>
      </c>
    </row>
    <row r="13" customFormat="false" ht="23.85" hidden="false" customHeight="false" outlineLevel="0" collapsed="false">
      <c r="A13" s="2" t="n">
        <v>9</v>
      </c>
      <c r="B13" s="29" t="s">
        <v>393</v>
      </c>
      <c r="C13" s="2" t="s">
        <v>394</v>
      </c>
    </row>
    <row r="14" customFormat="false" ht="35.05" hidden="false" customHeight="false" outlineLevel="0" collapsed="false">
      <c r="A14" s="2" t="n">
        <v>10</v>
      </c>
      <c r="B14" s="29" t="s">
        <v>395</v>
      </c>
      <c r="C14" s="2" t="s">
        <v>396</v>
      </c>
    </row>
    <row r="15" customFormat="false" ht="35.05" hidden="false" customHeight="false" outlineLevel="0" collapsed="false">
      <c r="A15" s="2" t="n">
        <v>11</v>
      </c>
      <c r="B15" s="29" t="s">
        <v>397</v>
      </c>
      <c r="C15" s="2" t="s">
        <v>398</v>
      </c>
    </row>
    <row r="16" customFormat="false" ht="23.85" hidden="false" customHeight="false" outlineLevel="0" collapsed="false">
      <c r="A16" s="2" t="n">
        <v>12</v>
      </c>
      <c r="B16" s="29" t="s">
        <v>397</v>
      </c>
      <c r="C16" s="2" t="s">
        <v>399</v>
      </c>
    </row>
    <row r="17" customFormat="false" ht="23.85" hidden="false" customHeight="false" outlineLevel="0" collapsed="false">
      <c r="A17" s="2" t="n">
        <v>13</v>
      </c>
      <c r="B17" s="29" t="s">
        <v>400</v>
      </c>
      <c r="C17" s="2" t="s">
        <v>401</v>
      </c>
    </row>
    <row r="18" customFormat="false" ht="23.85" hidden="false" customHeight="false" outlineLevel="0" collapsed="false">
      <c r="A18" s="2" t="n">
        <v>14</v>
      </c>
      <c r="B18" s="29" t="s">
        <v>402</v>
      </c>
      <c r="C18" s="2" t="s">
        <v>403</v>
      </c>
    </row>
    <row r="19" customFormat="false" ht="23.85" hidden="false" customHeight="false" outlineLevel="0" collapsed="false">
      <c r="A19" s="2" t="n">
        <v>15</v>
      </c>
      <c r="B19" s="29" t="s">
        <v>404</v>
      </c>
      <c r="C19" s="2" t="s">
        <v>405</v>
      </c>
    </row>
    <row r="21" customFormat="false" ht="35.05" hidden="false" customHeight="false" outlineLevel="0" collapsed="false">
      <c r="B21" s="30" t="s">
        <v>406</v>
      </c>
      <c r="C21" s="16" t="s">
        <v>407</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2026-09-04T11:48:51Z</dcterms:created>
  <dc:creator>openpyxl</dc:creator>
  <dc:description/>
  <dc:language>en-US</dc:language>
  <cp:lastModifiedBy/>
  <dcterms:modified xsi:type="dcterms:W3CDTF">2026-09-04T11:48:51Z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